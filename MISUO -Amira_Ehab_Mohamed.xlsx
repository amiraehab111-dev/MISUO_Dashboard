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CCF46BBA-533B-4B6E-AA42-45CCB39EC498}" xr6:coauthVersionLast="47" xr6:coauthVersionMax="47" xr10:uidLastSave="{00000000-0000-0000-0000-000000000000}"/>
  <bookViews>
    <workbookView xWindow="-120" yWindow="-120" windowWidth="20730" windowHeight="11160" firstSheet="1" activeTab="4" xr2:uid="{00000000-000D-0000-FFFF-FFFF00000000}"/>
  </bookViews>
  <sheets>
    <sheet name="البيانات" sheetId="10" r:id="rId1"/>
    <sheet name="الارشادات" sheetId="3" r:id="rId2"/>
    <sheet name="cleand_data" sheetId="1" r:id="rId3"/>
    <sheet name="MISUO_pivot" sheetId="14" r:id="rId4"/>
    <sheet name="MISUO_Dashboard" sheetId="15" r:id="rId5"/>
  </sheets>
  <definedNames>
    <definedName name="_xlnm._FilterDatabase" localSheetId="2" hidden="1">cleand_data!$A$1:$X$127</definedName>
    <definedName name="Slicer_الحالة">#N/A</definedName>
    <definedName name="Slicer_منصة_البيع">#N/A</definedName>
    <definedName name="Slicer_نوع_العميل">#N/A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P13" i="1"/>
  <c r="Q13" i="1" s="1"/>
  <c r="P18" i="1"/>
  <c r="Q18" i="1" s="1"/>
  <c r="P22" i="1"/>
  <c r="Q22" i="1" s="1"/>
  <c r="P24" i="1"/>
  <c r="Q24" i="1" s="1"/>
  <c r="P30" i="1"/>
  <c r="Q30" i="1" s="1"/>
  <c r="P32" i="1"/>
  <c r="Q32" i="1" s="1"/>
  <c r="P43" i="1"/>
  <c r="Q43" i="1" s="1"/>
  <c r="P57" i="1"/>
  <c r="Q57" i="1"/>
  <c r="P59" i="1"/>
  <c r="Q59" i="1" s="1"/>
  <c r="P67" i="1"/>
  <c r="Q67" i="1" s="1"/>
  <c r="P72" i="1"/>
  <c r="Q72" i="1" s="1"/>
  <c r="P92" i="1"/>
  <c r="Q92" i="1" s="1"/>
  <c r="P98" i="1"/>
  <c r="Q98" i="1" s="1"/>
  <c r="Q4" i="1"/>
  <c r="Q6" i="1"/>
  <c r="Q11" i="1"/>
  <c r="Q15" i="1"/>
  <c r="Q19" i="1"/>
  <c r="Q25" i="1"/>
  <c r="Q33" i="1"/>
  <c r="Q37" i="1"/>
  <c r="Q41" i="1"/>
  <c r="Q56" i="1"/>
  <c r="Q62" i="1"/>
  <c r="Q74" i="1"/>
  <c r="Q76" i="1"/>
  <c r="Q83" i="1"/>
  <c r="Q93" i="1"/>
  <c r="Q96" i="1"/>
  <c r="Q111" i="1"/>
  <c r="Q117" i="1"/>
  <c r="Q118" i="1"/>
  <c r="Q119" i="1"/>
  <c r="Q120" i="1"/>
  <c r="Q121" i="1"/>
  <c r="P74" i="1"/>
  <c r="P75" i="1"/>
  <c r="Q75" i="1" s="1"/>
  <c r="P76" i="1"/>
  <c r="P77" i="1"/>
  <c r="Q77" i="1" s="1"/>
  <c r="P78" i="1"/>
  <c r="Q78" i="1" s="1"/>
  <c r="P79" i="1"/>
  <c r="Q79" i="1" s="1"/>
  <c r="P80" i="1"/>
  <c r="Q80" i="1" s="1"/>
  <c r="P81" i="1"/>
  <c r="Q81" i="1" s="1"/>
  <c r="P82" i="1"/>
  <c r="Q82" i="1" s="1"/>
  <c r="P83" i="1"/>
  <c r="P84" i="1"/>
  <c r="Q84" i="1" s="1"/>
  <c r="P85" i="1"/>
  <c r="Q85" i="1" s="1"/>
  <c r="P86" i="1"/>
  <c r="Q86" i="1" s="1"/>
  <c r="P87" i="1"/>
  <c r="Q87" i="1" s="1"/>
  <c r="P88" i="1"/>
  <c r="Q88" i="1" s="1"/>
  <c r="P89" i="1"/>
  <c r="Q89" i="1" s="1"/>
  <c r="P90" i="1"/>
  <c r="Q90" i="1" s="1"/>
  <c r="P91" i="1"/>
  <c r="Q91" i="1" s="1"/>
  <c r="P93" i="1"/>
  <c r="P94" i="1"/>
  <c r="Q94" i="1" s="1"/>
  <c r="P95" i="1"/>
  <c r="Q95" i="1" s="1"/>
  <c r="P96" i="1"/>
  <c r="P97" i="1"/>
  <c r="Q97"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P112" i="1"/>
  <c r="Q112" i="1" s="1"/>
  <c r="P113" i="1"/>
  <c r="Q113" i="1" s="1"/>
  <c r="P114" i="1"/>
  <c r="Q114" i="1" s="1"/>
  <c r="P115" i="1"/>
  <c r="Q115" i="1" s="1"/>
  <c r="P116" i="1"/>
  <c r="Q116" i="1" s="1"/>
  <c r="P117" i="1"/>
  <c r="P118" i="1"/>
  <c r="P119" i="1"/>
  <c r="P120" i="1"/>
  <c r="P121" i="1"/>
  <c r="P122" i="1"/>
  <c r="Q122" i="1" s="1"/>
  <c r="P123" i="1"/>
  <c r="Q123" i="1" s="1"/>
  <c r="P124" i="1"/>
  <c r="Q124" i="1" s="1"/>
  <c r="P125" i="1"/>
  <c r="Q125" i="1" s="1"/>
  <c r="P126" i="1"/>
  <c r="Q126" i="1" s="1"/>
  <c r="P127" i="1"/>
  <c r="Q127" i="1" s="1"/>
  <c r="P68" i="1"/>
  <c r="Q68" i="1" s="1"/>
  <c r="P69" i="1"/>
  <c r="Q69" i="1" s="1"/>
  <c r="P70" i="1"/>
  <c r="Q70" i="1" s="1"/>
  <c r="P71" i="1"/>
  <c r="Q71" i="1" s="1"/>
  <c r="P73" i="1"/>
  <c r="Q73" i="1" s="1"/>
  <c r="P66" i="1"/>
  <c r="Q66" i="1" s="1"/>
  <c r="P2" i="1"/>
  <c r="Q2" i="1" s="1"/>
  <c r="P3" i="1"/>
  <c r="Q3" i="1" s="1"/>
  <c r="P4" i="1"/>
  <c r="P5" i="1"/>
  <c r="Q5" i="1" s="1"/>
  <c r="P6" i="1"/>
  <c r="P7" i="1"/>
  <c r="Q7" i="1" s="1"/>
  <c r="P8" i="1"/>
  <c r="Q8" i="1" s="1"/>
  <c r="P9" i="1"/>
  <c r="Q9" i="1" s="1"/>
  <c r="P10" i="1"/>
  <c r="Q10" i="1" s="1"/>
  <c r="P11" i="1"/>
  <c r="P12" i="1"/>
  <c r="Q12" i="1" s="1"/>
  <c r="P14" i="1"/>
  <c r="Q14" i="1" s="1"/>
  <c r="P15" i="1"/>
  <c r="P16" i="1"/>
  <c r="Q16" i="1" s="1"/>
  <c r="P17" i="1"/>
  <c r="Q17" i="1" s="1"/>
  <c r="P19" i="1"/>
  <c r="P20" i="1"/>
  <c r="Q20" i="1" s="1"/>
  <c r="P21" i="1"/>
  <c r="Q21" i="1" s="1"/>
  <c r="P23" i="1"/>
  <c r="Q23" i="1" s="1"/>
  <c r="P25" i="1"/>
  <c r="P26" i="1"/>
  <c r="Q26" i="1" s="1"/>
  <c r="P27" i="1"/>
  <c r="Q27" i="1" s="1"/>
  <c r="P28" i="1"/>
  <c r="Q28" i="1" s="1"/>
  <c r="P29" i="1"/>
  <c r="Q29" i="1" s="1"/>
  <c r="P31" i="1"/>
  <c r="Q31" i="1" s="1"/>
  <c r="P33" i="1"/>
  <c r="P34" i="1"/>
  <c r="Q34" i="1" s="1"/>
  <c r="P35" i="1"/>
  <c r="Q35" i="1" s="1"/>
  <c r="P36" i="1"/>
  <c r="Q36" i="1" s="1"/>
  <c r="P37" i="1"/>
  <c r="P38" i="1"/>
  <c r="Q38" i="1" s="1"/>
  <c r="P39" i="1"/>
  <c r="Q39" i="1" s="1"/>
  <c r="P40" i="1"/>
  <c r="Q40" i="1" s="1"/>
  <c r="P41" i="1"/>
  <c r="P42" i="1"/>
  <c r="Q42"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P58" i="1"/>
  <c r="Q58" i="1" s="1"/>
  <c r="P60" i="1"/>
  <c r="Q60" i="1" s="1"/>
  <c r="P61" i="1"/>
  <c r="Q61" i="1" s="1"/>
  <c r="P62" i="1"/>
  <c r="P63" i="1"/>
  <c r="Q63" i="1" s="1"/>
  <c r="P64" i="1"/>
  <c r="Q64" i="1" s="1"/>
  <c r="P65" i="1"/>
  <c r="Q65" i="1" s="1"/>
  <c r="B9" i="14"/>
  <c r="L9" i="14"/>
  <c r="G9"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7375D1-AD98-4176-9C24-817490CCB01F}" keepAlive="1" name="Query - MISUO (3)" description="Connection to the 'MISUO (3)' query in the workbook." type="5" refreshedVersion="0" background="1">
    <dbPr connection="Provider=Microsoft.Mashup.OleDb.1;Data Source=$Workbook$;Location=&quot;MISUO (3)&quot;;Extended Properties=&quot;&quot;" command="SELECT * FROM [MISUO (3)]"/>
  </connection>
  <connection id="2" xr16:uid="{69FA0E13-A828-4FC8-8383-0D74CB205662}" keepAlive="1" name="Query - MISUO (4)" description="Connection to the 'MISUO (4)' query in the workbook." type="5" refreshedVersion="8" background="1" saveData="1">
    <dbPr connection="Provider=Microsoft.Mashup.OleDb.1;Data Source=$Workbook$;Location=&quot;MISUO (4)&quot;;Extended Properties=&quot;&quot;" command="SELECT * FROM [MISUO (4)]"/>
  </connection>
</connections>
</file>

<file path=xl/sharedStrings.xml><?xml version="1.0" encoding="utf-8"?>
<sst xmlns="http://schemas.openxmlformats.org/spreadsheetml/2006/main" count="2938" uniqueCount="431">
  <si>
    <t>أسم العميل</t>
  </si>
  <si>
    <t>العنوان</t>
  </si>
  <si>
    <t>المنتج</t>
  </si>
  <si>
    <t>تاريخ التسليم</t>
  </si>
  <si>
    <t>المسئول عن التسليم</t>
  </si>
  <si>
    <t>م</t>
  </si>
  <si>
    <t>رقم الموبيل</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</si>
  <si>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</si>
  <si>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</si>
  <si>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</si>
  <si>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</si>
  <si>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</si>
  <si>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</si>
  <si>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</si>
  <si>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</si>
  <si>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</si>
  <si>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</si>
  <si>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</si>
  <si>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</si>
  <si>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</si>
  <si>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</si>
  <si>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</si>
  <si>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</si>
  <si>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</si>
  <si>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</si>
  <si>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</si>
  <si>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</si>
  <si>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</si>
  <si>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</si>
  <si>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</si>
  <si>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</si>
  <si>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</si>
  <si>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</si>
  <si>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</si>
  <si>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</si>
  <si>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</si>
  <si>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</si>
  <si>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</si>
  <si>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</si>
  <si>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</si>
  <si>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</si>
  <si>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</si>
  <si>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</si>
  <si>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</si>
  <si>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</si>
  <si>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</si>
  <si>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</si>
  <si>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</si>
  <si>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</si>
  <si>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</si>
  <si>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</si>
  <si>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</si>
  <si>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</si>
  <si>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</si>
  <si>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</si>
  <si>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</si>
  <si>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</si>
  <si>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</si>
  <si>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</si>
  <si>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</si>
  <si>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</si>
  <si>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</si>
  <si>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</si>
  <si>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</si>
  <si>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</si>
  <si>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</si>
  <si>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</si>
  <si>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</si>
  <si>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</si>
  <si>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</si>
  <si>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</si>
  <si>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</si>
  <si>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</si>
  <si>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</si>
  <si>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</si>
  <si>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</si>
  <si>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</si>
  <si>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</si>
  <si>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</si>
  <si>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</si>
  <si>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</si>
  <si>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1229928475-01022373996</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</si>
  <si>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</si>
  <si>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</si>
  <si>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</si>
  <si>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</si>
  <si>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</si>
  <si>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</si>
  <si>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</si>
  <si>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</si>
  <si>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</si>
  <si>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</si>
  <si>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</si>
  <si>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</si>
  <si>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</si>
  <si>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</si>
  <si>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</si>
  <si>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</si>
  <si>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</si>
  <si>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</si>
  <si>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</si>
  <si>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</si>
  <si>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</si>
  <si>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</si>
  <si>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</si>
  <si>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</si>
  <si>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</si>
  <si>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</si>
  <si>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</si>
  <si>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</si>
  <si>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</si>
  <si>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</si>
  <si>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</si>
  <si>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</si>
  <si>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</si>
  <si>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</si>
  <si>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</si>
  <si>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</si>
  <si>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</si>
  <si>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</si>
  <si>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</si>
  <si>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</si>
  <si>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</si>
  <si>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</si>
  <si>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</si>
  <si>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</si>
  <si>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</si>
  <si>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</si>
  <si>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</si>
  <si>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</si>
  <si>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</si>
  <si>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</si>
  <si>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</si>
  <si>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</si>
  <si>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</si>
  <si>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</si>
  <si>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</si>
  <si>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</si>
  <si>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</si>
  <si>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</si>
  <si>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</si>
  <si>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</si>
  <si>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</si>
  <si>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</si>
  <si>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</si>
  <si>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</si>
  <si>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</si>
  <si>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</si>
  <si>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</si>
  <si>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</si>
  <si>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</si>
  <si>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</si>
  <si>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</si>
  <si>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</si>
  <si>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</si>
  <si>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</si>
  <si>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</si>
  <si>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</si>
  <si>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</si>
  <si>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</si>
  <si>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</si>
  <si>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</si>
  <si>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</si>
  <si>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</si>
  <si>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</si>
  <si>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</si>
  <si>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</si>
  <si>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</si>
  <si>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</si>
  <si>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</si>
  <si>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</si>
  <si>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</si>
  <si>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</si>
  <si>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</si>
  <si>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</si>
  <si>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</si>
  <si>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</si>
  <si>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</si>
  <si>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</si>
  <si>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</si>
  <si>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</si>
  <si>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</si>
  <si>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</si>
  <si>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</si>
  <si>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</si>
  <si>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</si>
  <si>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</si>
  <si>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</si>
  <si>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</si>
  <si>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</si>
  <si>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</si>
  <si>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</si>
  <si>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</si>
  <si>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</si>
  <si>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</si>
  <si>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</si>
  <si>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</si>
  <si>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</si>
  <si>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</si>
  <si>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</si>
  <si>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</si>
  <si>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</si>
  <si>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</si>
  <si>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</si>
  <si>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</si>
  <si>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</si>
  <si>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</si>
  <si>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</si>
  <si>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</si>
  <si>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</si>
  <si>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</si>
  <si>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</si>
  <si>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</si>
  <si>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</si>
  <si>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</si>
  <si>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</si>
  <si>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</si>
  <si>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</si>
  <si>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</si>
  <si>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</si>
  <si>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</si>
  <si>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</si>
  <si>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</si>
  <si>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</si>
  <si>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</si>
  <si>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</si>
  <si>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</si>
  <si>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</si>
  <si>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</si>
  <si>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</si>
  <si>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</si>
  <si>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</si>
  <si>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</si>
  <si>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</si>
  <si>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</si>
  <si>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</si>
  <si>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</si>
  <si>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</si>
  <si>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</si>
  <si>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</si>
  <si>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</si>
  <si>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</si>
  <si>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</si>
  <si>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</si>
  <si>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</si>
  <si>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</si>
  <si>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</si>
  <si>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</si>
  <si>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</si>
  <si>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</si>
  <si>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</si>
  <si>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</si>
  <si>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</si>
  <si>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</si>
  <si>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</si>
  <si>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</si>
  <si>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</si>
  <si>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</si>
  <si>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</si>
  <si>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</si>
  <si>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</si>
  <si>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</si>
  <si>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</si>
  <si>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</si>
  <si>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</si>
  <si>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</si>
  <si>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</si>
  <si>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</si>
  <si>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</si>
  <si>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</si>
  <si>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</si>
  <si>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</si>
  <si>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</si>
  <si>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</si>
  <si>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</si>
  <si>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</si>
  <si>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</si>
  <si>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</si>
  <si>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</si>
  <si>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</si>
  <si>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</si>
  <si>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</si>
  <si>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</si>
  <si>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</si>
  <si>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</si>
  <si>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</si>
  <si>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</si>
  <si>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</si>
  <si>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</si>
  <si>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</si>
  <si>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</si>
  <si>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</si>
  <si>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</si>
  <si>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</si>
  <si>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</si>
  <si>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</si>
  <si>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</si>
  <si>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</si>
  <si>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</si>
  <si>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</si>
  <si>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</si>
  <si>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</si>
  <si>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</si>
  <si>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</si>
  <si>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</si>
  <si>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</si>
  <si>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</si>
  <si>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</si>
  <si>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</si>
  <si>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</si>
  <si>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</si>
  <si>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</si>
  <si>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</si>
  <si>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</si>
  <si>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</si>
  <si>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</si>
  <si>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</si>
  <si>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</si>
  <si>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</si>
  <si>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</si>
  <si>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</si>
  <si>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</si>
  <si>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</si>
  <si>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</si>
  <si>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</si>
  <si>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</si>
  <si>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</si>
  <si>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</si>
  <si>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</si>
  <si>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</si>
  <si>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</si>
  <si>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</si>
  <si>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</si>
  <si>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مرفوض</t>
  </si>
  <si>
    <t>نوع المنتج</t>
  </si>
  <si>
    <t>تصنيف المنتج</t>
  </si>
  <si>
    <t>كاش</t>
  </si>
  <si>
    <t>المحافظة</t>
  </si>
  <si>
    <t>100/140</t>
  </si>
  <si>
    <t>الجيزة</t>
  </si>
  <si>
    <t>الإسكندرية</t>
  </si>
  <si>
    <t>مطروح</t>
  </si>
  <si>
    <t>البحر الأحمر</t>
  </si>
  <si>
    <t>القاهرة</t>
  </si>
  <si>
    <t>أسيوط</t>
  </si>
  <si>
    <t>نوع العميل</t>
  </si>
  <si>
    <t>أفراد</t>
  </si>
  <si>
    <t>شركات</t>
  </si>
  <si>
    <t>الصنف</t>
  </si>
  <si>
    <t>نوع الصنف</t>
  </si>
  <si>
    <t>الكمية</t>
  </si>
  <si>
    <t>سرير منطبق الحديد ابيض والقماش ابيض</t>
  </si>
  <si>
    <t>أبيض</t>
  </si>
  <si>
    <t>سرير منطبق اسود والقماش اسود</t>
  </si>
  <si>
    <t>أسود</t>
  </si>
  <si>
    <t>سرير كيفنج مقاس 90 لون ازرق</t>
  </si>
  <si>
    <t>أزرق</t>
  </si>
  <si>
    <t>ترابيزه قهوه متحركه</t>
  </si>
  <si>
    <t>ترابيزة</t>
  </si>
  <si>
    <t>متحركة</t>
  </si>
  <si>
    <t>سرير نوفال متر رمادى</t>
  </si>
  <si>
    <t>رمادي</t>
  </si>
  <si>
    <t>كنبه سرير رمادى</t>
  </si>
  <si>
    <t>كنبة سرير</t>
  </si>
  <si>
    <t>سرير فردى ابيض</t>
  </si>
  <si>
    <t>فردي</t>
  </si>
  <si>
    <t>ركنه</t>
  </si>
  <si>
    <t>كنبه سحاره بمخدع</t>
  </si>
  <si>
    <t>كنبه سحاره بدون مخدع</t>
  </si>
  <si>
    <t>ترابيزه قهوه علويه جديده</t>
  </si>
  <si>
    <t>علوية</t>
  </si>
  <si>
    <t>سرير كيفنج ١٢٠ اسود</t>
  </si>
  <si>
    <t>سرير كينج ابيض مقاس ٨٠ التصميم الجديد</t>
  </si>
  <si>
    <t>فوتيه فنيسيا</t>
  </si>
  <si>
    <t>فوتيه</t>
  </si>
  <si>
    <t>إسباني</t>
  </si>
  <si>
    <t>سرير كينج ابيض</t>
  </si>
  <si>
    <t>سرير كينج اسود</t>
  </si>
  <si>
    <t>سرير فورجينا خشب موسكى ابيض مقاس ١٢٠</t>
  </si>
  <si>
    <t>سرير ارفيل ١٢٠ اسود</t>
  </si>
  <si>
    <t>أرفيل</t>
  </si>
  <si>
    <t>ترابيزه قهوه علويه برف سحاب</t>
  </si>
  <si>
    <t>سرير منطبق اسود حديد والقماش</t>
  </si>
  <si>
    <t>سرير ادورا اسود مقاس ١٠٠</t>
  </si>
  <si>
    <t>عادي</t>
  </si>
  <si>
    <t>سرير كوين مقاس ١٤٠ دهبي ورمادى</t>
  </si>
  <si>
    <t>كوين</t>
  </si>
  <si>
    <t>ذهبي ورمادي</t>
  </si>
  <si>
    <t>سرير كيفنج ١٢٠ رمادى</t>
  </si>
  <si>
    <t>سرير نوفال ٩٠ اسود</t>
  </si>
  <si>
    <t>سرير كيفنج ١٠٠ اسود</t>
  </si>
  <si>
    <t>سرير ادوار ابيض مقاس ٨٠ ابيض</t>
  </si>
  <si>
    <t>سرير كيفنج دورين مقاس ٨٠ ابيض</t>
  </si>
  <si>
    <t>استيل</t>
  </si>
  <si>
    <t>سرير كينج ١٢٠ بنفسجى</t>
  </si>
  <si>
    <t>بنفسجي</t>
  </si>
  <si>
    <t>كنبه سرير حركه</t>
  </si>
  <si>
    <t>سرير ادوار اسود مقاس ٩٠</t>
  </si>
  <si>
    <t>ترابيزه قهوه رافع</t>
  </si>
  <si>
    <t>2 رافع</t>
  </si>
  <si>
    <t>سرير منطبق اسود حديد</t>
  </si>
  <si>
    <t>سرير اسبانى ١٤٠ اسود وبيج</t>
  </si>
  <si>
    <t>ترابيزه قهوه مرتفعه برف سحاب</t>
  </si>
  <si>
    <t>مرتفعة</t>
  </si>
  <si>
    <t>سرير فورجينا ابيض مقاس ١٢٠</t>
  </si>
  <si>
    <t>سرير كيفنج دورين مقاس ١٢٠ رمادى</t>
  </si>
  <si>
    <t>سرير نوفال ١٠٠ رمادى</t>
  </si>
  <si>
    <t>سرير نوفال مقاس ٨٠ ابيض</t>
  </si>
  <si>
    <t>اللون المعتمد</t>
  </si>
  <si>
    <t>إجمالي البيع</t>
  </si>
  <si>
    <t>صافي المبيعات</t>
  </si>
  <si>
    <t>Sum of صافي المبيعات</t>
  </si>
  <si>
    <t>Sum of الكمية</t>
  </si>
  <si>
    <t>Count of أسم العميل</t>
  </si>
  <si>
    <t>Row Labels</t>
  </si>
  <si>
    <t>Grand Total</t>
  </si>
  <si>
    <t>اجمالي المبيعات</t>
  </si>
  <si>
    <t>عدد الطلبات</t>
  </si>
  <si>
    <t>متوسط سعر البيع</t>
  </si>
  <si>
    <t xml:space="preserve">Average of سعر البيع </t>
  </si>
  <si>
    <t>عدد المنتجات المباعة حسب المنصة</t>
  </si>
  <si>
    <t>المنتج الأكثر مبيعًا</t>
  </si>
  <si>
    <t>اللون الأكثر مبيعًا</t>
  </si>
  <si>
    <t>نسبة الطلبات المسلمة في الموعد</t>
  </si>
  <si>
    <t>التسليم في الموعد</t>
  </si>
  <si>
    <t>Count of التسليم في الموعد</t>
  </si>
  <si>
    <t>نسبة الطلبات الملغاة التي لم تتسلم</t>
  </si>
  <si>
    <t>Count of الحالة</t>
  </si>
  <si>
    <t>المدينة الأكثر مبيعًا</t>
  </si>
  <si>
    <t>عدد الأفراد والشركات التي تتعامل معها شركة مسيو</t>
  </si>
  <si>
    <t>لم يتم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</si>
</sst>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2000000]dd/mm/yyyy"/>
    <numFmt numFmtId="165" formatCode="[$-2000401]0"/>
    <numFmt numFmtId="166" formatCode="_(* #,##0_);_(* \(#,##0\);_(* &quot;-&quot;??_);_(@_)"/>
    <numFmt numFmtId="167" formatCode="&quot;$&quot;#,##0"/>
  </numFmts>
  <fonts count="21" x14ac:knownFonts="1">
    <font>
      <sz val="11"/>
      <color theme="1"/>
      <name val="Calibri"/>
      <family val="2"/>
      <scheme val="minor"/>
    </font>
    <font>
      <b/>
      <sz val="12"/>
      <color theme="1"/>
      <name val="Calibri"/>
      <family val="2"/>
      <scheme val="minor"/>
    </font>
    <font>
      <sz val="11"/>
      <name val="Calibri"/>
      <family val="2"/>
      <scheme val="minor"/>
    </font>
    <font>
      <sz val="10"/>
      <color rgb="FF4D4D4D"/>
      <name val="Arial"/>
      <family val="2"/>
    </font>
    <font>
      <sz val="10"/>
      <color rgb="FF898989"/>
      <name val="Arial"/>
      <family val="2"/>
    </font>
    <font>
      <sz val="9"/>
      <color rgb="FF52525B"/>
      <name val="Arial"/>
      <family val="2"/>
    </font>
    <font>
      <sz val="10"/>
      <name val="Arial"/>
      <family val="2"/>
    </font>
    <font>
      <sz val="16"/>
      <color theme="1"/>
      <name val="Calibri"/>
      <family val="2"/>
      <scheme val="minor"/>
    </font>
    <font>
      <b/>
      <sz val="11"/>
      <color theme="1"/>
      <name val="Calibri"/>
      <family val="2"/>
      <scheme val="minor"/>
    </font>
    <font>
      <sz val="14"/>
      <color rgb="FF898989"/>
      <name val="Arial"/>
      <family val="2"/>
    </font>
    <font>
      <sz val="10"/>
      <color theme="1"/>
      <name val="Arial"/>
      <family val="2"/>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theme="1"/>
      <name val="Calibri"/>
      <family val="2"/>
      <scheme val="minor"/>
    </font>
    <font>
      <sz val="8"/>
      <name val="Calibri"/>
      <family val="2"/>
      <scheme val="minor"/>
    </font>
    <font>
      <b/>
      <sz val="18"/>
      <color rgb="FF00206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bgColor indexed="64"/>
      </patternFill>
    </fill>
    <fill>
      <patternFill patternType="solid">
        <fgColor theme="4" tint="-0.249977111117893"/>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3" fontId="18" fillId="0" borderId="0" applyFont="0" applyFill="0" applyBorder="0" applyAlignment="0" applyProtection="0"/>
    <xf numFmtId="44" fontId="18" fillId="0" borderId="0" applyFont="0" applyFill="0" applyBorder="0" applyAlignment="0" applyProtection="0"/>
  </cellStyleXfs>
  <cellXfs count="114">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0" fontId="0" fillId="2" borderId="1" xfId="0" applyFill="1" applyBorder="1" applyAlignment="1">
      <alignment horizontal="right"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0" fillId="0" borderId="1" xfId="0" applyBorder="1" applyAlignment="1">
      <alignment horizontal="center" vertical="center"/>
    </xf>
    <xf numFmtId="0" fontId="1" fillId="2" borderId="2" xfId="0" applyFont="1" applyFill="1" applyBorder="1" applyAlignment="1">
      <alignment horizontal="right" vertical="center"/>
    </xf>
    <xf numFmtId="0" fontId="0" fillId="2" borderId="2" xfId="0" applyFill="1" applyBorder="1" applyAlignment="1">
      <alignment horizontal="right" vertical="center"/>
    </xf>
    <xf numFmtId="0" fontId="0" fillId="3" borderId="1" xfId="0" applyFill="1" applyBorder="1" applyAlignment="1">
      <alignment horizontal="right" vertical="center"/>
    </xf>
    <xf numFmtId="0" fontId="0" fillId="3" borderId="1" xfId="0" applyFill="1" applyBorder="1" applyAlignment="1">
      <alignment horizontal="center" vertical="center"/>
    </xf>
    <xf numFmtId="2" fontId="0" fillId="3" borderId="1" xfId="0" applyNumberFormat="1" applyFill="1" applyBorder="1" applyAlignment="1">
      <alignment horizontal="right" vertical="center"/>
    </xf>
    <xf numFmtId="0" fontId="0" fillId="4" borderId="1" xfId="0" applyFill="1" applyBorder="1" applyAlignment="1">
      <alignment horizontal="right" vertical="center"/>
    </xf>
    <xf numFmtId="0" fontId="0" fillId="4" borderId="1" xfId="0" applyFill="1" applyBorder="1" applyAlignment="1">
      <alignment horizontal="center" vertical="center"/>
    </xf>
    <xf numFmtId="2" fontId="0" fillId="4" borderId="1" xfId="0" applyNumberFormat="1" applyFill="1" applyBorder="1" applyAlignment="1">
      <alignment horizontal="right" vertical="center"/>
    </xf>
    <xf numFmtId="14" fontId="0" fillId="3" borderId="1" xfId="0" applyNumberFormat="1" applyFill="1" applyBorder="1" applyAlignment="1">
      <alignment horizontal="right" vertical="center"/>
    </xf>
    <xf numFmtId="0" fontId="3" fillId="3" borderId="1" xfId="0" applyFont="1" applyFill="1" applyBorder="1" applyAlignment="1">
      <alignment horizontal="center"/>
    </xf>
    <xf numFmtId="0" fontId="0" fillId="3" borderId="2" xfId="0" applyFill="1" applyBorder="1" applyAlignment="1">
      <alignment horizontal="right" vertical="center"/>
    </xf>
    <xf numFmtId="2"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3" fillId="3" borderId="0" xfId="0" applyFont="1" applyFill="1"/>
    <xf numFmtId="0" fontId="0" fillId="5" borderId="2" xfId="0" applyFill="1" applyBorder="1" applyAlignment="1">
      <alignment horizontal="right" vertical="center"/>
    </xf>
    <xf numFmtId="0" fontId="0" fillId="6" borderId="3" xfId="0" applyFill="1" applyBorder="1" applyAlignment="1">
      <alignment horizontal="right" vertical="center"/>
    </xf>
    <xf numFmtId="0" fontId="0" fillId="6" borderId="1" xfId="0" applyFill="1" applyBorder="1" applyAlignment="1">
      <alignment horizontal="right" vertical="center"/>
    </xf>
    <xf numFmtId="2" fontId="0" fillId="6" borderId="3" xfId="0" applyNumberFormat="1" applyFill="1" applyBorder="1" applyAlignment="1">
      <alignment horizontal="right" vertical="center"/>
    </xf>
    <xf numFmtId="164" fontId="0" fillId="6" borderId="3" xfId="0" applyNumberFormat="1" applyFill="1" applyBorder="1" applyAlignment="1">
      <alignment horizontal="right" vertical="center"/>
    </xf>
    <xf numFmtId="2" fontId="0" fillId="6" borderId="1" xfId="0" applyNumberFormat="1" applyFill="1" applyBorder="1" applyAlignment="1">
      <alignment horizontal="right" vertical="center"/>
    </xf>
    <xf numFmtId="164" fontId="0" fillId="6" borderId="1" xfId="0" applyNumberFormat="1" applyFill="1" applyBorder="1" applyAlignment="1">
      <alignment horizontal="right" vertical="center"/>
    </xf>
    <xf numFmtId="14" fontId="0" fillId="6" borderId="1" xfId="0" applyNumberFormat="1" applyFill="1" applyBorder="1" applyAlignment="1">
      <alignment horizontal="right" vertical="center"/>
    </xf>
    <xf numFmtId="14" fontId="0" fillId="4" borderId="1" xfId="0" applyNumberFormat="1" applyFill="1" applyBorder="1" applyAlignment="1">
      <alignment horizontal="right" vertical="center"/>
    </xf>
    <xf numFmtId="0" fontId="0" fillId="6" borderId="1" xfId="0" applyFill="1" applyBorder="1" applyAlignment="1">
      <alignment horizontal="center" vertical="center"/>
    </xf>
    <xf numFmtId="0" fontId="0" fillId="6" borderId="0" xfId="0" applyFill="1" applyAlignment="1">
      <alignment horizontal="right" vertical="center"/>
    </xf>
    <xf numFmtId="14" fontId="0" fillId="6" borderId="3" xfId="0" applyNumberFormat="1" applyFill="1" applyBorder="1" applyAlignment="1">
      <alignment horizontal="right" vertical="center"/>
    </xf>
    <xf numFmtId="0" fontId="3" fillId="6" borderId="1" xfId="0" applyFont="1" applyFill="1" applyBorder="1" applyAlignment="1">
      <alignment horizontal="center"/>
    </xf>
    <xf numFmtId="0" fontId="0" fillId="6" borderId="2" xfId="0" applyFill="1" applyBorder="1" applyAlignment="1">
      <alignment horizontal="right" vertical="center"/>
    </xf>
    <xf numFmtId="2" fontId="0" fillId="6" borderId="1" xfId="0" applyNumberFormat="1" applyFill="1" applyBorder="1" applyAlignment="1">
      <alignment horizontal="center" vertical="center"/>
    </xf>
    <xf numFmtId="14" fontId="0" fillId="6" borderId="1" xfId="0" applyNumberForma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4" borderId="1" xfId="0" applyFont="1" applyFill="1" applyBorder="1" applyAlignment="1">
      <alignment horizontal="center"/>
    </xf>
    <xf numFmtId="0" fontId="0" fillId="4" borderId="2" xfId="0" applyFill="1" applyBorder="1" applyAlignment="1">
      <alignment horizontal="right" vertical="center"/>
    </xf>
    <xf numFmtId="2"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right" vertical="center"/>
    </xf>
    <xf numFmtId="2"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6" fillId="6" borderId="1" xfId="0" applyFont="1" applyFill="1" applyBorder="1" applyAlignment="1">
      <alignment horizontal="center"/>
    </xf>
    <xf numFmtId="0" fontId="5" fillId="3" borderId="0" xfId="0" applyFont="1" applyFill="1" applyAlignment="1">
      <alignment wrapText="1"/>
    </xf>
    <xf numFmtId="0" fontId="7" fillId="6" borderId="0" xfId="0" applyFont="1" applyFill="1"/>
    <xf numFmtId="0" fontId="8" fillId="6" borderId="1" xfId="0" applyFont="1" applyFill="1" applyBorder="1" applyAlignment="1">
      <alignment horizontal="center" vertical="center"/>
    </xf>
    <xf numFmtId="0" fontId="4" fillId="6" borderId="1" xfId="0" applyFont="1" applyFill="1" applyBorder="1" applyAlignment="1">
      <alignment horizontal="center"/>
    </xf>
    <xf numFmtId="0" fontId="2" fillId="4" borderId="1" xfId="0" applyFont="1" applyFill="1" applyBorder="1" applyAlignment="1">
      <alignment horizontal="center" vertical="center"/>
    </xf>
    <xf numFmtId="0" fontId="2" fillId="4" borderId="2" xfId="0" applyFont="1" applyFill="1" applyBorder="1" applyAlignment="1">
      <alignment horizontal="right" vertical="center"/>
    </xf>
    <xf numFmtId="0" fontId="9" fillId="6" borderId="0" xfId="0" applyFont="1" applyFill="1" applyAlignment="1">
      <alignment wrapText="1"/>
    </xf>
    <xf numFmtId="165" fontId="0" fillId="6" borderId="1" xfId="0" applyNumberFormat="1" applyFill="1" applyBorder="1" applyAlignment="1">
      <alignment horizontal="right" vertical="center"/>
    </xf>
    <xf numFmtId="0" fontId="9" fillId="0" borderId="0" xfId="0" applyFont="1" applyAlignment="1">
      <alignment wrapText="1"/>
    </xf>
    <xf numFmtId="2" fontId="2" fillId="3" borderId="1" xfId="0" applyNumberFormat="1" applyFont="1" applyFill="1" applyBorder="1" applyAlignment="1">
      <alignment horizontal="center" vertical="center"/>
    </xf>
    <xf numFmtId="14" fontId="0" fillId="0" borderId="1" xfId="0" applyNumberFormat="1" applyBorder="1" applyAlignment="1">
      <alignment horizontal="right" vertical="center"/>
    </xf>
    <xf numFmtId="0" fontId="10" fillId="6" borderId="0" xfId="0" applyFont="1" applyFill="1" applyAlignment="1">
      <alignment wrapText="1"/>
    </xf>
    <xf numFmtId="0" fontId="0" fillId="3" borderId="0" xfId="0" applyFill="1" applyAlignment="1">
      <alignment horizontal="right" vertical="center"/>
    </xf>
    <xf numFmtId="0" fontId="9" fillId="3" borderId="0" xfId="0" applyFont="1" applyFill="1" applyAlignment="1">
      <alignment wrapText="1"/>
    </xf>
    <xf numFmtId="165" fontId="0" fillId="3" borderId="1" xfId="0" applyNumberFormat="1" applyFill="1" applyBorder="1" applyAlignment="1">
      <alignment horizontal="right" vertical="center"/>
    </xf>
    <xf numFmtId="0" fontId="8" fillId="0" borderId="0" xfId="0" applyFont="1"/>
    <xf numFmtId="0" fontId="1"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5" fillId="0" borderId="0" xfId="0" applyFont="1" applyAlignment="1">
      <alignment horizontal="right" indent="2"/>
    </xf>
    <xf numFmtId="0" fontId="1" fillId="7" borderId="3" xfId="0" applyFont="1" applyFill="1" applyBorder="1" applyAlignment="1">
      <alignment horizontal="center" vertical="center"/>
    </xf>
    <xf numFmtId="0" fontId="0" fillId="7" borderId="3" xfId="0" applyFill="1" applyBorder="1" applyAlignment="1">
      <alignment horizontal="center" vertical="center"/>
    </xf>
    <xf numFmtId="0" fontId="0" fillId="7" borderId="0" xfId="0" applyFill="1" applyAlignment="1">
      <alignment horizontal="right" vertical="center"/>
    </xf>
    <xf numFmtId="166" fontId="1" fillId="7" borderId="3" xfId="1" applyNumberFormat="1" applyFont="1" applyFill="1" applyBorder="1" applyAlignment="1">
      <alignment horizontal="center" vertical="center"/>
    </xf>
    <xf numFmtId="14" fontId="1" fillId="7" borderId="3" xfId="0" applyNumberFormat="1" applyFont="1" applyFill="1" applyBorder="1" applyAlignment="1">
      <alignment horizontal="center" vertical="center"/>
    </xf>
    <xf numFmtId="167" fontId="1" fillId="7" borderId="3" xfId="2" applyNumberFormat="1" applyFont="1" applyFill="1" applyBorder="1" applyAlignment="1">
      <alignment horizontal="center" vertical="center"/>
    </xf>
    <xf numFmtId="0" fontId="0" fillId="0" borderId="0" xfId="0" applyAlignment="1">
      <alignment horizontal="center"/>
    </xf>
    <xf numFmtId="0" fontId="1" fillId="7" borderId="3" xfId="0" applyFont="1" applyFill="1" applyBorder="1" applyAlignment="1">
      <alignment vertical="center"/>
    </xf>
    <xf numFmtId="0" fontId="0" fillId="0" borderId="0" xfId="0" applyAlignment="1">
      <alignment horizontal="center" vertical="center"/>
    </xf>
    <xf numFmtId="167" fontId="0" fillId="0" borderId="0" xfId="2" applyNumberFormat="1" applyFont="1" applyAlignment="1">
      <alignment horizontal="center"/>
    </xf>
    <xf numFmtId="167" fontId="0" fillId="0" borderId="1" xfId="2" applyNumberFormat="1" applyFont="1" applyBorder="1" applyAlignment="1">
      <alignment horizontal="center" vertical="center"/>
    </xf>
    <xf numFmtId="167" fontId="0" fillId="0" borderId="0" xfId="2" applyNumberFormat="1" applyFont="1" applyAlignment="1">
      <alignment horizontal="center" vertical="center"/>
    </xf>
    <xf numFmtId="166" fontId="0" fillId="0" borderId="0" xfId="1" applyNumberFormat="1" applyFont="1" applyAlignment="1">
      <alignment horizontal="center"/>
    </xf>
    <xf numFmtId="14" fontId="0" fillId="0" borderId="0" xfId="0" applyNumberFormat="1" applyAlignment="1">
      <alignment horizontal="center"/>
    </xf>
    <xf numFmtId="0" fontId="5" fillId="6" borderId="0" xfId="0" applyFont="1" applyFill="1" applyAlignment="1">
      <alignment wrapText="1"/>
    </xf>
    <xf numFmtId="167" fontId="0" fillId="0" borderId="0" xfId="2"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vertical="center"/>
    </xf>
    <xf numFmtId="167" fontId="0" fillId="0" borderId="0" xfId="0" applyNumberFormat="1" applyAlignment="1">
      <alignment vertical="center"/>
    </xf>
    <xf numFmtId="1" fontId="0" fillId="0" borderId="0" xfId="0" applyNumberFormat="1"/>
    <xf numFmtId="10" fontId="0" fillId="0" borderId="0" xfId="0" applyNumberFormat="1"/>
    <xf numFmtId="9" fontId="0" fillId="0" borderId="0" xfId="0" applyNumberFormat="1"/>
    <xf numFmtId="0" fontId="0" fillId="8" borderId="0" xfId="0" applyFill="1"/>
    <xf numFmtId="166" fontId="0" fillId="0" borderId="0" xfId="1" applyNumberFormat="1"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3" borderId="0" xfId="0" applyFill="1" applyAlignment="1">
      <alignment horizontal="center"/>
    </xf>
    <xf numFmtId="0" fontId="20" fillId="3" borderId="0" xfId="0" applyFont="1" applyFill="1" applyAlignment="1">
      <alignment horizontal="center" vertical="center"/>
    </xf>
    <xf numFmtId="0" fontId="0" fillId="3" borderId="0" xfId="0" applyFill="1" applyAlignment="1">
      <alignment horizontal="center" vertical="center"/>
    </xf>
    <xf numFmtId="0" fontId="0" fillId="0" borderId="0" xfId="0" applyNumberFormat="1"/>
  </cellXfs>
  <cellStyles count="3">
    <cellStyle name="Comma" xfId="1" builtinId="3"/>
    <cellStyle name="Currency" xfId="2" builtinId="4"/>
    <cellStyle name="Normal" xfId="0" builtinId="0"/>
  </cellStyles>
  <dxfs count="731">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font>
        <color theme="0"/>
      </font>
      <border>
        <bottom style="thin">
          <color theme="8"/>
        </bottom>
        <vertical/>
        <horizontal/>
      </border>
    </dxf>
    <dxf>
      <font>
        <color theme="0"/>
      </font>
      <fill>
        <patternFill>
          <bgColor rgb="FF1C2D4D"/>
        </patternFill>
      </fill>
      <border>
        <left style="thin">
          <color theme="8"/>
        </left>
        <right style="thin">
          <color theme="8"/>
        </right>
        <top style="thin">
          <color theme="8"/>
        </top>
        <bottom style="thin">
          <color theme="8"/>
        </bottom>
        <vertical/>
        <horizontal/>
      </border>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 formatCode="0"/>
    </dxf>
    <dxf>
      <numFmt numFmtId="13" formatCode="0%"/>
    </dxf>
    <dxf>
      <numFmt numFmtId="13" formatCode="0%"/>
    </dxf>
    <dxf>
      <numFmt numFmtId="13" formatCode="0%"/>
    </dxf>
    <dxf>
      <alignment vertical="center"/>
    </dxf>
    <dxf>
      <alignment vertical="center"/>
    </dxf>
    <dxf>
      <alignment vertical="center"/>
    </dxf>
    <dxf>
      <numFmt numFmtId="13" formatCode="0%"/>
    </dxf>
    <dxf>
      <numFmt numFmtId="13" formatCode="0%"/>
    </dxf>
    <dxf>
      <numFmt numFmtId="13" formatCode="0%"/>
    </dxf>
    <dxf>
      <numFmt numFmtId="1" formatCode="0"/>
    </dxf>
    <dxf>
      <alignment vertical="center"/>
    </dxf>
    <dxf>
      <alignment vertical="center"/>
    </dxf>
    <dxf>
      <alignment vertical="center"/>
    </dxf>
    <dxf>
      <numFmt numFmtId="13" formatCode="0%"/>
    </dxf>
    <dxf>
      <numFmt numFmtId="13" formatCode="0%"/>
    </dxf>
    <dxf>
      <numFmt numFmtId="13" formatCode="0%"/>
    </dxf>
    <dxf>
      <numFmt numFmtId="1" formatCode="0"/>
    </dxf>
    <dxf>
      <font>
        <color rgb="FF9C0006"/>
      </font>
      <fill>
        <patternFill>
          <bgColor rgb="FFFFC7CE"/>
        </patternFill>
      </fill>
    </dxf>
    <dxf>
      <numFmt numFmtId="1" formatCode="0"/>
    </dxf>
    <dxf>
      <alignment vertical="center"/>
    </dxf>
    <dxf>
      <alignment vertical="center"/>
    </dxf>
    <dxf>
      <alignment vertical="center"/>
    </dxf>
    <dxf>
      <numFmt numFmtId="13" formatCode="0%"/>
    </dxf>
    <dxf>
      <numFmt numFmtId="13" formatCode="0%"/>
    </dxf>
    <dxf>
      <numFmt numFmtId="13" formatCode="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theme="0"/>
      </font>
      <border>
        <bottom style="thin">
          <color theme="6"/>
        </bottom>
        <vertical/>
        <horizontal/>
      </border>
    </dxf>
    <dxf>
      <font>
        <color rgb="FF1C2D4D"/>
      </font>
      <fill>
        <patternFill>
          <bgColor rgb="FFD2141A"/>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b val="0"/>
        <i val="0"/>
        <sz val="10"/>
        <color theme="0"/>
      </font>
      <fill>
        <patternFill>
          <bgColor rgb="FFD2141A"/>
        </patternFill>
      </fill>
      <border diagonalUp="0" diagonalDown="0">
        <left/>
        <right/>
        <top/>
        <bottom/>
        <vertical/>
        <horizontal/>
      </border>
    </dxf>
    <dxf>
      <font>
        <b/>
        <color theme="1"/>
      </font>
      <border>
        <bottom style="thin">
          <color theme="6"/>
        </bottom>
        <vertical/>
        <horizontal/>
      </border>
    </dxf>
    <dxf>
      <font>
        <color theme="0"/>
      </font>
      <fill>
        <patternFill>
          <bgColor rgb="FFD2141A"/>
        </patternFill>
      </fill>
      <border>
        <left style="thin">
          <color theme="6"/>
        </left>
        <right style="thin">
          <color theme="6"/>
        </right>
        <top style="thin">
          <color theme="6"/>
        </top>
        <bottom style="thin">
          <color theme="6"/>
        </bottom>
        <vertical/>
        <horizontal/>
      </border>
    </dxf>
    <dxf>
      <font>
        <color theme="0"/>
      </font>
      <border>
        <bottom style="thin">
          <color theme="8"/>
        </bottom>
        <vertical/>
        <horizontal/>
      </border>
    </dxf>
    <dxf>
      <font>
        <color theme="0"/>
      </font>
      <fill>
        <patternFill>
          <bgColor rgb="FF1C2D4D"/>
        </patternFill>
      </fill>
      <border>
        <left style="thin">
          <color theme="8"/>
        </left>
        <right style="thin">
          <color theme="8"/>
        </right>
        <top style="thin">
          <color theme="8"/>
        </top>
        <bottom style="thin">
          <color theme="8"/>
        </bottom>
        <vertical/>
        <horizontal/>
      </border>
    </dxf>
    <dxf>
      <font>
        <color rgb="FFD2141A"/>
      </font>
    </dxf>
  </dxfs>
  <tableStyles count="7" defaultTableStyle="TableStyleMedium2" defaultPivotStyle="PivotStyleLight16">
    <tableStyle name="Invisible" pivot="0" table="0" count="0" xr9:uid="{AA73528B-8D85-432A-9172-AA70B5E8C669}"/>
    <tableStyle name="Slicer Style 1" pivot="0" table="0" count="1" xr9:uid="{19524BE9-B4D7-4D9D-9E93-913648711C57}">
      <tableStyleElement type="wholeTable" dxfId="730"/>
    </tableStyle>
    <tableStyle name="SlicerStyleDark5 2" pivot="0" table="0" count="10" xr9:uid="{9BD0084A-2CD8-4EBE-8371-45461E02935E}">
      <tableStyleElement type="wholeTable" dxfId="638"/>
      <tableStyleElement type="headerRow" dxfId="637"/>
    </tableStyle>
    <tableStyle name="SlicerStyleDark5 2 2" pivot="0" table="0" count="10" xr9:uid="{1068B61F-FAA4-4BE6-8FC4-DFC7FB217419}">
      <tableStyleElement type="wholeTable" dxfId="729"/>
      <tableStyleElement type="headerRow" dxfId="728"/>
    </tableStyle>
    <tableStyle name="SlicerStyleLight3 2" pivot="0" table="0" count="10" xr9:uid="{D48C7F8A-054E-48AF-98B5-85CA023493B2}">
      <tableStyleElement type="wholeTable" dxfId="727"/>
      <tableStyleElement type="headerRow" dxfId="726"/>
    </tableStyle>
    <tableStyle name="SlicerStyleLight3 2 2" pivot="0" table="0" count="10" xr9:uid="{B9AAEAE1-7E07-4201-9C2E-F21975B8F94D}">
      <tableStyleElement type="wholeTable" dxfId="725"/>
      <tableStyleElement type="headerRow" dxfId="724"/>
    </tableStyle>
    <tableStyle name="SlicerStyleLight3 2 3" pivot="0" table="0" count="10" xr9:uid="{49A5BE95-5B45-4F4E-BC21-FCCC1DA3437C}">
      <tableStyleElement type="wholeTable" dxfId="723"/>
      <tableStyleElement type="headerRow" dxfId="722"/>
    </tableStyle>
  </tableStyles>
  <colors>
    <mruColors>
      <color rgb="FF1C2D4D"/>
      <color rgb="FFD2141A"/>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1C2D4D"/>
              <bgColor rgb="FF1C2D4D"/>
            </patternFill>
          </fill>
          <border>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1C2D4D"/>
              <bgColor theme="2"/>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1C2D4D"/>
              <bgColor rgb="FF1C2D4D"/>
            </patternFill>
          </fill>
          <border>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3 2">
        <x14:slicerStyle name="Slicer Style 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5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3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-Amira_Ehab_Mohamed.xlsx]MISUO_pivot!PivotTable12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14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79790414690002E-2"/>
          <c:y val="0.13605465756697571"/>
          <c:w val="0.85555955676188944"/>
          <c:h val="0.53006156048675734"/>
        </c:manualLayout>
      </c:layout>
      <c:barChart>
        <c:barDir val="col"/>
        <c:grouping val="clustered"/>
        <c:varyColors val="0"/>
        <c:ser>
          <c:idx val="0"/>
          <c:order val="0"/>
          <c:tx>
            <c:strRef>
              <c:f>MISUO_pivot!$R$6</c:f>
              <c:strCache>
                <c:ptCount val="1"/>
                <c:pt idx="0">
                  <c:v>Total</c:v>
                </c:pt>
              </c:strCache>
            </c:strRef>
          </c:tx>
          <c:spPr>
            <a:solidFill>
              <a:srgbClr val="D214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MISUO_pivot!$Q$7:$Q$8</c:f>
              <c:strCache>
                <c:ptCount val="1"/>
                <c:pt idx="0">
                  <c:v>شيك هومز</c:v>
                </c:pt>
              </c:strCache>
            </c:strRef>
          </c:cat>
          <c:val>
            <c:numRef>
              <c:f>MISUO_pivot!$R$7:$R$8</c:f>
              <c:numCache>
                <c:formatCode>General</c:formatCode>
                <c:ptCount val="1"/>
                <c:pt idx="0">
                  <c:v>2</c:v>
                </c:pt>
              </c:numCache>
            </c:numRef>
          </c:val>
          <c:extLst>
            <c:ext xmlns:c16="http://schemas.microsoft.com/office/drawing/2014/chart" uri="{C3380CC4-5D6E-409C-BE32-E72D297353CC}">
              <c16:uniqueId val="{00000000-696D-4204-B2FC-5518054DDD3B}"/>
            </c:ext>
          </c:extLst>
        </c:ser>
        <c:dLbls>
          <c:showLegendKey val="0"/>
          <c:showVal val="0"/>
          <c:showCatName val="0"/>
          <c:showSerName val="0"/>
          <c:showPercent val="0"/>
          <c:showBubbleSize val="0"/>
        </c:dLbls>
        <c:gapWidth val="219"/>
        <c:overlap val="-27"/>
        <c:axId val="1457711264"/>
        <c:axId val="1457711744"/>
      </c:barChart>
      <c:catAx>
        <c:axId val="14577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7711744"/>
        <c:crosses val="autoZero"/>
        <c:auto val="1"/>
        <c:lblAlgn val="ctr"/>
        <c:lblOffset val="100"/>
        <c:noMultiLvlLbl val="0"/>
      </c:catAx>
      <c:valAx>
        <c:axId val="1457711744"/>
        <c:scaling>
          <c:orientation val="minMax"/>
        </c:scaling>
        <c:delete val="1"/>
        <c:axPos val="l"/>
        <c:numFmt formatCode="General" sourceLinked="1"/>
        <c:majorTickMark val="none"/>
        <c:minorTickMark val="none"/>
        <c:tickLblPos val="nextTo"/>
        <c:crossAx val="145771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2D4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-Amira_Ehab_Mohamed.xlsx]MISUO_pivot!PivotTable18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14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93382195150133E-2"/>
          <c:y val="0.12560386473429952"/>
          <c:w val="0.90775681341719072"/>
          <c:h val="0.45178059264331089"/>
        </c:manualLayout>
      </c:layout>
      <c:barChart>
        <c:barDir val="col"/>
        <c:grouping val="clustered"/>
        <c:varyColors val="0"/>
        <c:ser>
          <c:idx val="0"/>
          <c:order val="0"/>
          <c:tx>
            <c:strRef>
              <c:f>MISUO_pivot!$AQ$6</c:f>
              <c:strCache>
                <c:ptCount val="1"/>
                <c:pt idx="0">
                  <c:v>Total</c:v>
                </c:pt>
              </c:strCache>
            </c:strRef>
          </c:tx>
          <c:spPr>
            <a:solidFill>
              <a:srgbClr val="D214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MISUO_pivot!$AP$7</c:f>
              <c:strCache>
                <c:ptCount val="1"/>
                <c:pt idx="0">
                  <c:v>Grand Total</c:v>
                </c:pt>
              </c:strCache>
            </c:strRef>
          </c:cat>
          <c:val>
            <c:numRef>
              <c:f>MISUO_pivot!$AQ$7</c:f>
              <c:numCache>
                <c:formatCode>General</c:formatCode>
                <c:ptCount val="1"/>
              </c:numCache>
            </c:numRef>
          </c:val>
          <c:extLst>
            <c:ext xmlns:c16="http://schemas.microsoft.com/office/drawing/2014/chart" uri="{C3380CC4-5D6E-409C-BE32-E72D297353CC}">
              <c16:uniqueId val="{00000000-DE76-4EDD-9EE0-EDAAB55AFFB8}"/>
            </c:ext>
          </c:extLst>
        </c:ser>
        <c:dLbls>
          <c:showLegendKey val="0"/>
          <c:showVal val="0"/>
          <c:showCatName val="0"/>
          <c:showSerName val="0"/>
          <c:showPercent val="0"/>
          <c:showBubbleSize val="0"/>
        </c:dLbls>
        <c:gapWidth val="219"/>
        <c:overlap val="-27"/>
        <c:axId val="2115649504"/>
        <c:axId val="2115647104"/>
      </c:barChart>
      <c:catAx>
        <c:axId val="211564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5647104"/>
        <c:crosses val="autoZero"/>
        <c:auto val="1"/>
        <c:lblAlgn val="ctr"/>
        <c:lblOffset val="100"/>
        <c:noMultiLvlLbl val="0"/>
      </c:catAx>
      <c:valAx>
        <c:axId val="2115647104"/>
        <c:scaling>
          <c:orientation val="minMax"/>
        </c:scaling>
        <c:delete val="1"/>
        <c:axPos val="l"/>
        <c:numFmt formatCode="General" sourceLinked="1"/>
        <c:majorTickMark val="none"/>
        <c:minorTickMark val="none"/>
        <c:tickLblPos val="nextTo"/>
        <c:crossAx val="2115649504"/>
        <c:crosses val="autoZero"/>
        <c:crossBetween val="between"/>
      </c:valAx>
      <c:spPr>
        <a:solidFill>
          <a:srgbClr val="1C2D4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2D4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-Amira_Ehab_Mohamed.xlsx]MISUO_pivot!PivotTable2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dLbl>
          <c:idx val="0"/>
          <c:layout>
            <c:manualLayout>
              <c:x val="4.1072236332117922E-2"/>
              <c:y val="-0.223390822120335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F0000"/>
          </a:solidFill>
          <a:ln w="19050">
            <a:solidFill>
              <a:schemeClr val="lt1"/>
            </a:solidFill>
          </a:ln>
          <a:effectLst/>
        </c:spPr>
        <c:dLbl>
          <c:idx val="0"/>
          <c:layout>
            <c:manualLayout>
              <c:x val="0"/>
              <c:y val="0.18414241698048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2141A"/>
          </a:solidFill>
          <a:ln w="19050">
            <a:solidFill>
              <a:schemeClr val="lt1"/>
            </a:solidFill>
          </a:ln>
          <a:effectLst/>
        </c:spPr>
      </c:pivotFmt>
    </c:pivotFmts>
    <c:plotArea>
      <c:layout>
        <c:manualLayout>
          <c:layoutTarget val="inner"/>
          <c:xMode val="edge"/>
          <c:yMode val="edge"/>
          <c:x val="0.11816041638862938"/>
          <c:y val="0"/>
          <c:w val="0.29350273588682768"/>
          <c:h val="1"/>
        </c:manualLayout>
      </c:layout>
      <c:pieChart>
        <c:varyColors val="1"/>
        <c:ser>
          <c:idx val="0"/>
          <c:order val="0"/>
          <c:tx>
            <c:strRef>
              <c:f>MISUO_pivot!$AG$6</c:f>
              <c:strCache>
                <c:ptCount val="1"/>
                <c:pt idx="0">
                  <c:v>Total</c:v>
                </c:pt>
              </c:strCache>
            </c:strRef>
          </c:tx>
          <c:spPr>
            <a:solidFill>
              <a:schemeClr val="bg1"/>
            </a:solidFill>
          </c:spPr>
          <c:dPt>
            <c:idx val="0"/>
            <c:bubble3D val="0"/>
            <c:spPr>
              <a:solidFill>
                <a:srgbClr val="D2141A"/>
              </a:solidFill>
              <a:ln w="19050">
                <a:solidFill>
                  <a:schemeClr val="lt1"/>
                </a:solidFill>
              </a:ln>
              <a:effectLst/>
            </c:spPr>
            <c:extLst>
              <c:ext xmlns:c16="http://schemas.microsoft.com/office/drawing/2014/chart" uri="{C3380CC4-5D6E-409C-BE32-E72D297353CC}">
                <c16:uniqueId val="{00000001-6434-4416-B7A0-B5352D2C2F8C}"/>
              </c:ext>
            </c:extLst>
          </c:dPt>
          <c:dPt>
            <c:idx val="1"/>
            <c:bubble3D val="0"/>
            <c:extLst>
              <c:ext xmlns:c16="http://schemas.microsoft.com/office/drawing/2014/chart" uri="{C3380CC4-5D6E-409C-BE32-E72D297353CC}">
                <c16:uniqueId val="{00000003-6434-4416-B7A0-B5352D2C2F8C}"/>
              </c:ext>
            </c:extLst>
          </c:dPt>
          <c:dPt>
            <c:idx val="2"/>
            <c:bubble3D val="0"/>
            <c:extLst>
              <c:ext xmlns:c16="http://schemas.microsoft.com/office/drawing/2014/chart" uri="{C3380CC4-5D6E-409C-BE32-E72D297353CC}">
                <c16:uniqueId val="{00000005-856F-416A-94EE-B9447C529A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MISUO_pivot!$AF$7:$AF$8</c:f>
              <c:strCache>
                <c:ptCount val="1"/>
                <c:pt idx="0">
                  <c:v>لم يتم</c:v>
                </c:pt>
              </c:strCache>
            </c:strRef>
          </c:cat>
          <c:val>
            <c:numRef>
              <c:f>MISUO_pivot!$AG$7:$AG$8</c:f>
              <c:numCache>
                <c:formatCode>0.00%</c:formatCode>
                <c:ptCount val="1"/>
                <c:pt idx="0">
                  <c:v>1</c:v>
                </c:pt>
              </c:numCache>
            </c:numRef>
          </c:val>
          <c:extLst>
            <c:ext xmlns:c16="http://schemas.microsoft.com/office/drawing/2014/chart" uri="{C3380CC4-5D6E-409C-BE32-E72D297353CC}">
              <c16:uniqueId val="{00000004-6434-4416-B7A0-B5352D2C2F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696025623540801"/>
          <c:y val="0.183095634172489"/>
          <c:w val="0.19303974376459182"/>
          <c:h val="0.63380725296661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2D4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-Amira_Ehab_Mohamed.xlsx]MISUO_pivot!PivotTable15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14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50060092591093E-2"/>
          <c:y val="0.1237023943435642"/>
          <c:w val="0.90389853334368941"/>
          <c:h val="0.48562058683560355"/>
        </c:manualLayout>
      </c:layout>
      <c:barChart>
        <c:barDir val="col"/>
        <c:grouping val="clustered"/>
        <c:varyColors val="0"/>
        <c:ser>
          <c:idx val="0"/>
          <c:order val="0"/>
          <c:tx>
            <c:strRef>
              <c:f>MISUO_pivot!$AB$5</c:f>
              <c:strCache>
                <c:ptCount val="1"/>
                <c:pt idx="0">
                  <c:v>Total</c:v>
                </c:pt>
              </c:strCache>
            </c:strRef>
          </c:tx>
          <c:spPr>
            <a:solidFill>
              <a:srgbClr val="D214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MISUO_pivot!$AA$6:$AA$7</c:f>
              <c:strCache>
                <c:ptCount val="1"/>
                <c:pt idx="0">
                  <c:v>أسود</c:v>
                </c:pt>
              </c:strCache>
            </c:strRef>
          </c:cat>
          <c:val>
            <c:numRef>
              <c:f>MISUO_pivot!$AB$6:$AB$7</c:f>
              <c:numCache>
                <c:formatCode>General</c:formatCode>
                <c:ptCount val="1"/>
                <c:pt idx="0">
                  <c:v>2</c:v>
                </c:pt>
              </c:numCache>
            </c:numRef>
          </c:val>
          <c:extLst>
            <c:ext xmlns:c16="http://schemas.microsoft.com/office/drawing/2014/chart" uri="{C3380CC4-5D6E-409C-BE32-E72D297353CC}">
              <c16:uniqueId val="{00000000-11ED-4DE5-87F9-FE52C0D9FBE3}"/>
            </c:ext>
          </c:extLst>
        </c:ser>
        <c:dLbls>
          <c:dLblPos val="outEnd"/>
          <c:showLegendKey val="0"/>
          <c:showVal val="1"/>
          <c:showCatName val="0"/>
          <c:showSerName val="0"/>
          <c:showPercent val="0"/>
          <c:showBubbleSize val="0"/>
        </c:dLbls>
        <c:gapWidth val="219"/>
        <c:overlap val="-27"/>
        <c:axId val="1551278704"/>
        <c:axId val="1551279184"/>
      </c:barChart>
      <c:catAx>
        <c:axId val="155127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1279184"/>
        <c:crosses val="autoZero"/>
        <c:auto val="1"/>
        <c:lblAlgn val="ctr"/>
        <c:lblOffset val="100"/>
        <c:noMultiLvlLbl val="0"/>
      </c:catAx>
      <c:valAx>
        <c:axId val="1551279184"/>
        <c:scaling>
          <c:orientation val="minMax"/>
        </c:scaling>
        <c:delete val="1"/>
        <c:axPos val="l"/>
        <c:numFmt formatCode="General" sourceLinked="1"/>
        <c:majorTickMark val="none"/>
        <c:minorTickMark val="none"/>
        <c:tickLblPos val="nextTo"/>
        <c:crossAx val="155127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2D4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-Amira_Ehab_Mohamed.xlsx]MISUO_pivot!PivotTable19</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2141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0.16877637130801687"/>
              <c:y val="0.10335917312661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2141A"/>
          </a:solidFill>
          <a:ln w="19050">
            <a:solidFill>
              <a:schemeClr val="lt1"/>
            </a:solidFill>
          </a:ln>
          <a:effectLst/>
        </c:spPr>
        <c:dLbl>
          <c:idx val="0"/>
          <c:layout>
            <c:manualLayout>
              <c:x val="-0.11126949312541479"/>
              <c:y val="-0.14128574980534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53644984361215E-2"/>
          <c:y val="6.2400381770460513E-2"/>
          <c:w val="0.56352430414376276"/>
          <c:h val="0.7385588165115724"/>
        </c:manualLayout>
      </c:layout>
      <c:doughnutChart>
        <c:varyColors val="1"/>
        <c:ser>
          <c:idx val="0"/>
          <c:order val="0"/>
          <c:tx>
            <c:strRef>
              <c:f>MISUO_pivot!$AV$6</c:f>
              <c:strCache>
                <c:ptCount val="1"/>
                <c:pt idx="0">
                  <c:v>Total</c:v>
                </c:pt>
              </c:strCache>
            </c:strRef>
          </c:tx>
          <c:spPr>
            <a:solidFill>
              <a:srgbClr val="D2141A"/>
            </a:solidFill>
          </c:spPr>
          <c:dPt>
            <c:idx val="0"/>
            <c:bubble3D val="0"/>
            <c:spPr>
              <a:solidFill>
                <a:srgbClr val="D2141A"/>
              </a:solidFill>
              <a:ln w="19050">
                <a:solidFill>
                  <a:schemeClr val="lt1"/>
                </a:solidFill>
              </a:ln>
              <a:effectLst/>
            </c:spPr>
            <c:extLst>
              <c:ext xmlns:c16="http://schemas.microsoft.com/office/drawing/2014/chart" uri="{C3380CC4-5D6E-409C-BE32-E72D297353CC}">
                <c16:uniqueId val="{00000001-BFCE-40C7-96C7-D44B320F1AEA}"/>
              </c:ext>
            </c:extLst>
          </c:dPt>
          <c:dPt>
            <c:idx val="1"/>
            <c:bubble3D val="0"/>
            <c:spPr>
              <a:solidFill>
                <a:srgbClr val="D2141A"/>
              </a:solidFill>
              <a:ln w="19050">
                <a:solidFill>
                  <a:schemeClr val="lt1"/>
                </a:solidFill>
              </a:ln>
              <a:effectLst/>
            </c:spPr>
            <c:extLst>
              <c:ext xmlns:c16="http://schemas.microsoft.com/office/drawing/2014/chart" uri="{C3380CC4-5D6E-409C-BE32-E72D297353CC}">
                <c16:uniqueId val="{00000003-BFCE-40C7-96C7-D44B320F1AEA}"/>
              </c:ext>
            </c:extLst>
          </c:dPt>
          <c:dLbls>
            <c:dLbl>
              <c:idx val="0"/>
              <c:layout>
                <c:manualLayout>
                  <c:x val="-0.11126949312541479"/>
                  <c:y val="-0.14128574980534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CE-40C7-96C7-D44B320F1A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MISUO_pivot!$AU$7:$AU$8</c:f>
              <c:strCache>
                <c:ptCount val="1"/>
                <c:pt idx="0">
                  <c:v>شركات</c:v>
                </c:pt>
              </c:strCache>
            </c:strRef>
          </c:cat>
          <c:val>
            <c:numRef>
              <c:f>MISUO_pivot!$AV$7:$AV$8</c:f>
              <c:numCache>
                <c:formatCode>General</c:formatCode>
                <c:ptCount val="1"/>
                <c:pt idx="0">
                  <c:v>2</c:v>
                </c:pt>
              </c:numCache>
            </c:numRef>
          </c:val>
          <c:extLst>
            <c:ext xmlns:c16="http://schemas.microsoft.com/office/drawing/2014/chart" uri="{C3380CC4-5D6E-409C-BE32-E72D297353CC}">
              <c16:uniqueId val="{00000004-BFCE-40C7-96C7-D44B320F1AE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2D4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-Amira_Ehab_Mohamed.xlsx]MISUO_pivot!PivotTable13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14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9785345303176"/>
          <c:y val="0.13062227902595486"/>
          <c:w val="0.7896739349888956"/>
          <c:h val="0.81220393609502461"/>
        </c:manualLayout>
      </c:layout>
      <c:barChart>
        <c:barDir val="bar"/>
        <c:grouping val="clustered"/>
        <c:varyColors val="0"/>
        <c:ser>
          <c:idx val="0"/>
          <c:order val="0"/>
          <c:tx>
            <c:strRef>
              <c:f>MISUO_pivot!$W$6</c:f>
              <c:strCache>
                <c:ptCount val="1"/>
                <c:pt idx="0">
                  <c:v>Total</c:v>
                </c:pt>
              </c:strCache>
            </c:strRef>
          </c:tx>
          <c:spPr>
            <a:solidFill>
              <a:srgbClr val="D2141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MISUO_pivot!$V$7:$V$8</c:f>
              <c:strCache>
                <c:ptCount val="1"/>
                <c:pt idx="0">
                  <c:v>سرير</c:v>
                </c:pt>
              </c:strCache>
            </c:strRef>
          </c:cat>
          <c:val>
            <c:numRef>
              <c:f>MISUO_pivot!$W$7:$W$8</c:f>
              <c:numCache>
                <c:formatCode>General</c:formatCode>
                <c:ptCount val="1"/>
                <c:pt idx="0">
                  <c:v>2</c:v>
                </c:pt>
              </c:numCache>
            </c:numRef>
          </c:val>
          <c:extLst>
            <c:ext xmlns:c16="http://schemas.microsoft.com/office/drawing/2014/chart" uri="{C3380CC4-5D6E-409C-BE32-E72D297353CC}">
              <c16:uniqueId val="{00000000-75F4-4889-9490-EE7EEDAB91CB}"/>
            </c:ext>
          </c:extLst>
        </c:ser>
        <c:dLbls>
          <c:dLblPos val="outEnd"/>
          <c:showLegendKey val="0"/>
          <c:showVal val="1"/>
          <c:showCatName val="0"/>
          <c:showSerName val="0"/>
          <c:showPercent val="0"/>
          <c:showBubbleSize val="0"/>
        </c:dLbls>
        <c:gapWidth val="182"/>
        <c:axId val="250435840"/>
        <c:axId val="250436320"/>
      </c:barChart>
      <c:catAx>
        <c:axId val="25043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436320"/>
        <c:crosses val="autoZero"/>
        <c:auto val="1"/>
        <c:lblAlgn val="ctr"/>
        <c:lblOffset val="100"/>
        <c:noMultiLvlLbl val="0"/>
      </c:catAx>
      <c:valAx>
        <c:axId val="25043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43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2D4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-Amira_Ehab_Mohamed.xlsx]MISUO_pivot!PivotTable17</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141A"/>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bg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2141A"/>
          </a:solidFill>
          <a:ln w="19050">
            <a:solidFill>
              <a:schemeClr val="lt1"/>
            </a:solidFill>
          </a:ln>
          <a:effectLst/>
        </c:spPr>
      </c:pivotFmt>
      <c:pivotFmt>
        <c:idx val="6"/>
        <c:spPr>
          <a:solidFill>
            <a:schemeClr val="bg1"/>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2141A"/>
          </a:solidFill>
          <a:ln w="19050">
            <a:solidFill>
              <a:schemeClr val="lt1"/>
            </a:solidFill>
          </a:ln>
          <a:effectLst/>
        </c:spPr>
      </c:pivotFmt>
      <c:pivotFmt>
        <c:idx val="10"/>
        <c:spPr>
          <a:solidFill>
            <a:schemeClr val="bg1"/>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2141A"/>
          </a:solidFill>
          <a:ln w="19050">
            <a:solidFill>
              <a:schemeClr val="lt1"/>
            </a:solidFill>
          </a:ln>
          <a:effectLst/>
        </c:spPr>
      </c:pivotFmt>
      <c:pivotFmt>
        <c:idx val="14"/>
        <c:spPr>
          <a:solidFill>
            <a:schemeClr val="bg1"/>
          </a:solidFill>
          <a:ln w="19050">
            <a:solidFill>
              <a:schemeClr val="lt1"/>
            </a:solidFill>
          </a:ln>
          <a:effectLst/>
        </c:spPr>
      </c:pivotFmt>
      <c:pivotFmt>
        <c:idx val="15"/>
        <c:spPr>
          <a:solidFill>
            <a:srgbClr val="FF00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2141A"/>
          </a:solidFill>
          <a:ln w="19050">
            <a:solidFill>
              <a:schemeClr val="lt1"/>
            </a:solidFill>
          </a:ln>
          <a:effectLst/>
        </c:spPr>
        <c:dLbl>
          <c:idx val="0"/>
          <c:layout>
            <c:manualLayout>
              <c:x val="0.15307629649742066"/>
              <c:y val="-6.7228460461847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solidFill>
              <a:schemeClr val="lt1"/>
            </a:solidFill>
          </a:ln>
          <a:effectLst/>
        </c:spPr>
        <c:dLbl>
          <c:idx val="0"/>
          <c:layout>
            <c:manualLayout>
              <c:x val="-1.4836817811566658E-2"/>
              <c:y val="-6.02291033364715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w="19050">
            <a:solidFill>
              <a:schemeClr val="lt1"/>
            </a:solidFill>
          </a:ln>
          <a:effectLst/>
        </c:spPr>
        <c:dLbl>
          <c:idx val="0"/>
          <c:layout>
            <c:manualLayout>
              <c:x val="4.5765408634265543E-2"/>
              <c:y val="-0.11741290344132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3893263342081"/>
          <c:y val="0.3142107757363663"/>
          <c:w val="0.41147353455818025"/>
          <c:h val="0.68578922426363376"/>
        </c:manualLayout>
      </c:layout>
      <c:pieChart>
        <c:varyColors val="1"/>
        <c:ser>
          <c:idx val="0"/>
          <c:order val="0"/>
          <c:tx>
            <c:strRef>
              <c:f>MISUO_pivot!$AL$6</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A067-4515-914D-2CDD24B547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67-4515-914D-2CDD24B547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67-4515-914D-2CDD24B547A6}"/>
              </c:ext>
            </c:extLst>
          </c:dPt>
          <c:dLbls>
            <c:dLbl>
              <c:idx val="0"/>
              <c:layout>
                <c:manualLayout>
                  <c:x val="4.5765408634265543E-2"/>
                  <c:y val="-0.1174129034413221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67-4515-914D-2CDD24B547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MISUO_pivot!$AK$7:$AK$8</c:f>
              <c:strCache>
                <c:ptCount val="1"/>
                <c:pt idx="0">
                  <c:v>مرفوض</c:v>
                </c:pt>
              </c:strCache>
            </c:strRef>
          </c:cat>
          <c:val>
            <c:numRef>
              <c:f>MISUO_pivot!$AL$7:$AL$8</c:f>
              <c:numCache>
                <c:formatCode>0%</c:formatCode>
                <c:ptCount val="1"/>
                <c:pt idx="0">
                  <c:v>1</c:v>
                </c:pt>
              </c:numCache>
            </c:numRef>
          </c:val>
          <c:extLst>
            <c:ext xmlns:c16="http://schemas.microsoft.com/office/drawing/2014/chart" uri="{C3380CC4-5D6E-409C-BE32-E72D297353CC}">
              <c16:uniqueId val="{00000006-A067-4515-914D-2CDD24B547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C2D4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180974</xdr:colOff>
      <xdr:row>0</xdr:row>
      <xdr:rowOff>0</xdr:rowOff>
    </xdr:from>
    <xdr:to>
      <xdr:col>24</xdr:col>
      <xdr:colOff>228599</xdr:colOff>
      <xdr:row>3</xdr:row>
      <xdr:rowOff>66675</xdr:rowOff>
    </xdr:to>
    <xdr:sp macro="" textlink="">
      <xdr:nvSpPr>
        <xdr:cNvPr id="4" name="Rectangle: Rounded Corners 3">
          <a:extLst>
            <a:ext uri="{FF2B5EF4-FFF2-40B4-BE49-F238E27FC236}">
              <a16:creationId xmlns:a16="http://schemas.microsoft.com/office/drawing/2014/main" id="{A9E4A01C-29A0-AB37-C3EC-EEEFC8F2B89C}"/>
            </a:ext>
          </a:extLst>
        </xdr:cNvPr>
        <xdr:cNvSpPr/>
      </xdr:nvSpPr>
      <xdr:spPr>
        <a:xfrm>
          <a:off x="2009774" y="0"/>
          <a:ext cx="12849225" cy="638175"/>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rgbClr val="D2141A"/>
              </a:solidFill>
            </a:rPr>
            <a:t>MISUO DASHBOARD                                         </a:t>
          </a:r>
        </a:p>
      </xdr:txBody>
    </xdr:sp>
    <xdr:clientData/>
  </xdr:twoCellAnchor>
  <xdr:oneCellAnchor>
    <xdr:from>
      <xdr:col>18</xdr:col>
      <xdr:colOff>514350</xdr:colOff>
      <xdr:row>0</xdr:row>
      <xdr:rowOff>66675</xdr:rowOff>
    </xdr:from>
    <xdr:ext cx="3200399" cy="419100"/>
    <xdr:sp macro="" textlink="">
      <xdr:nvSpPr>
        <xdr:cNvPr id="5" name="TextBox 4">
          <a:extLst>
            <a:ext uri="{FF2B5EF4-FFF2-40B4-BE49-F238E27FC236}">
              <a16:creationId xmlns:a16="http://schemas.microsoft.com/office/drawing/2014/main" id="{040B14C7-DE33-0860-053C-282AA6C91D56}"/>
            </a:ext>
          </a:extLst>
        </xdr:cNvPr>
        <xdr:cNvSpPr txBox="1"/>
      </xdr:nvSpPr>
      <xdr:spPr>
        <a:xfrm>
          <a:off x="11487150" y="66675"/>
          <a:ext cx="3200399"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solidFill>
                <a:schemeClr val="bg2"/>
              </a:solidFill>
            </a:rPr>
            <a:t>superstore Sales </a:t>
          </a:r>
        </a:p>
      </xdr:txBody>
    </xdr:sp>
    <xdr:clientData/>
  </xdr:oneCellAnchor>
  <xdr:twoCellAnchor>
    <xdr:from>
      <xdr:col>0</xdr:col>
      <xdr:colOff>38100</xdr:colOff>
      <xdr:row>0</xdr:row>
      <xdr:rowOff>38100</xdr:rowOff>
    </xdr:from>
    <xdr:to>
      <xdr:col>3</xdr:col>
      <xdr:colOff>123825</xdr:colOff>
      <xdr:row>31</xdr:row>
      <xdr:rowOff>38101</xdr:rowOff>
    </xdr:to>
    <xdr:sp macro="" textlink="">
      <xdr:nvSpPr>
        <xdr:cNvPr id="6" name="Rectangle: Rounded Corners 5">
          <a:extLst>
            <a:ext uri="{FF2B5EF4-FFF2-40B4-BE49-F238E27FC236}">
              <a16:creationId xmlns:a16="http://schemas.microsoft.com/office/drawing/2014/main" id="{A9120B8A-3890-B957-78C9-BD8C9129CD6E}"/>
            </a:ext>
          </a:extLst>
        </xdr:cNvPr>
        <xdr:cNvSpPr/>
      </xdr:nvSpPr>
      <xdr:spPr>
        <a:xfrm>
          <a:off x="38100" y="38100"/>
          <a:ext cx="1914525" cy="5905501"/>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000" b="1">
            <a:solidFill>
              <a:srgbClr val="D2141A"/>
            </a:solidFill>
            <a:latin typeface="+mn-lt"/>
            <a:ea typeface="+mn-ea"/>
            <a:cs typeface="+mn-cs"/>
          </a:endParaRPr>
        </a:p>
      </xdr:txBody>
    </xdr:sp>
    <xdr:clientData/>
  </xdr:twoCellAnchor>
  <xdr:twoCellAnchor>
    <xdr:from>
      <xdr:col>3</xdr:col>
      <xdr:colOff>161925</xdr:colOff>
      <xdr:row>3</xdr:row>
      <xdr:rowOff>97631</xdr:rowOff>
    </xdr:from>
    <xdr:to>
      <xdr:col>6</xdr:col>
      <xdr:colOff>266700</xdr:colOff>
      <xdr:row>8</xdr:row>
      <xdr:rowOff>113505</xdr:rowOff>
    </xdr:to>
    <xdr:sp macro="" textlink="">
      <xdr:nvSpPr>
        <xdr:cNvPr id="7" name="Rectangle: Rounded Corners 6">
          <a:extLst>
            <a:ext uri="{FF2B5EF4-FFF2-40B4-BE49-F238E27FC236}">
              <a16:creationId xmlns:a16="http://schemas.microsoft.com/office/drawing/2014/main" id="{6195210C-2E7B-0633-7803-E0135DFE8EC6}"/>
            </a:ext>
          </a:extLst>
        </xdr:cNvPr>
        <xdr:cNvSpPr/>
      </xdr:nvSpPr>
      <xdr:spPr>
        <a:xfrm>
          <a:off x="1990725" y="669131"/>
          <a:ext cx="1933575" cy="968374"/>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400" b="1">
              <a:solidFill>
                <a:schemeClr val="bg1"/>
              </a:solidFill>
              <a:latin typeface="+mn-lt"/>
              <a:ea typeface="+mn-ea"/>
              <a:cs typeface="+mn-cs"/>
            </a:rPr>
            <a:t>Total Sales</a:t>
          </a:r>
        </a:p>
        <a:p>
          <a:pPr marL="0" indent="0" algn="ctr"/>
          <a:r>
            <a:rPr lang="en-US" sz="1100" b="0" i="0" u="none" strike="noStrike">
              <a:solidFill>
                <a:schemeClr val="lt1"/>
              </a:solidFill>
              <a:effectLst/>
              <a:latin typeface="+mn-lt"/>
              <a:ea typeface="+mn-ea"/>
              <a:cs typeface="+mn-cs"/>
            </a:rPr>
            <a:t>                      </a:t>
          </a:r>
          <a:r>
            <a:rPr lang="en-US" sz="2000" b="1">
              <a:solidFill>
                <a:srgbClr val="D2141A"/>
              </a:solidFill>
              <a:effectLst/>
            </a:rPr>
            <a:t> </a:t>
          </a:r>
          <a:endParaRPr lang="en-US" sz="2000" b="1">
            <a:solidFill>
              <a:srgbClr val="D2141A"/>
            </a:solidFill>
            <a:latin typeface="+mn-lt"/>
            <a:ea typeface="+mn-ea"/>
            <a:cs typeface="+mn-cs"/>
          </a:endParaRPr>
        </a:p>
      </xdr:txBody>
    </xdr:sp>
    <xdr:clientData/>
  </xdr:twoCellAnchor>
  <xdr:twoCellAnchor>
    <xdr:from>
      <xdr:col>6</xdr:col>
      <xdr:colOff>346075</xdr:colOff>
      <xdr:row>3</xdr:row>
      <xdr:rowOff>92868</xdr:rowOff>
    </xdr:from>
    <xdr:to>
      <xdr:col>9</xdr:col>
      <xdr:colOff>260350</xdr:colOff>
      <xdr:row>8</xdr:row>
      <xdr:rowOff>114299</xdr:rowOff>
    </xdr:to>
    <xdr:sp macro="" textlink="">
      <xdr:nvSpPr>
        <xdr:cNvPr id="8" name="Rectangle: Rounded Corners 7">
          <a:extLst>
            <a:ext uri="{FF2B5EF4-FFF2-40B4-BE49-F238E27FC236}">
              <a16:creationId xmlns:a16="http://schemas.microsoft.com/office/drawing/2014/main" id="{2C79C30E-3766-653D-8ABD-E13D5D1C6DCD}"/>
            </a:ext>
          </a:extLst>
        </xdr:cNvPr>
        <xdr:cNvSpPr/>
      </xdr:nvSpPr>
      <xdr:spPr>
        <a:xfrm>
          <a:off x="4003675" y="664368"/>
          <a:ext cx="1743075" cy="973931"/>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400" b="1">
              <a:solidFill>
                <a:schemeClr val="bg1"/>
              </a:solidFill>
              <a:latin typeface="+mn-lt"/>
              <a:ea typeface="+mn-ea"/>
              <a:cs typeface="+mn-cs"/>
            </a:rPr>
            <a:t>Total Orders</a:t>
          </a:r>
        </a:p>
        <a:p>
          <a:pPr marL="0" indent="0" algn="ctr"/>
          <a:r>
            <a:rPr lang="en-US" sz="1400" b="1">
              <a:solidFill>
                <a:schemeClr val="bg1"/>
              </a:solidFill>
              <a:latin typeface="+mn-lt"/>
              <a:ea typeface="+mn-ea"/>
              <a:cs typeface="+mn-cs"/>
            </a:rPr>
            <a:t> </a:t>
          </a:r>
        </a:p>
      </xdr:txBody>
    </xdr:sp>
    <xdr:clientData/>
  </xdr:twoCellAnchor>
  <xdr:twoCellAnchor>
    <xdr:from>
      <xdr:col>9</xdr:col>
      <xdr:colOff>339725</xdr:colOff>
      <xdr:row>3</xdr:row>
      <xdr:rowOff>96837</xdr:rowOff>
    </xdr:from>
    <xdr:to>
      <xdr:col>12</xdr:col>
      <xdr:colOff>349250</xdr:colOff>
      <xdr:row>8</xdr:row>
      <xdr:rowOff>130967</xdr:rowOff>
    </xdr:to>
    <xdr:sp macro="" textlink="">
      <xdr:nvSpPr>
        <xdr:cNvPr id="9" name="Rectangle: Rounded Corners 8">
          <a:extLst>
            <a:ext uri="{FF2B5EF4-FFF2-40B4-BE49-F238E27FC236}">
              <a16:creationId xmlns:a16="http://schemas.microsoft.com/office/drawing/2014/main" id="{41D6F475-49A7-81B3-67A7-FBF11CEE58A8}"/>
            </a:ext>
          </a:extLst>
        </xdr:cNvPr>
        <xdr:cNvSpPr/>
      </xdr:nvSpPr>
      <xdr:spPr>
        <a:xfrm>
          <a:off x="5826125" y="668337"/>
          <a:ext cx="1838325" cy="986630"/>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400" b="1">
              <a:solidFill>
                <a:schemeClr val="bg1"/>
              </a:solidFill>
              <a:latin typeface="+mn-lt"/>
              <a:ea typeface="+mn-ea"/>
              <a:cs typeface="+mn-cs"/>
            </a:rPr>
            <a:t>AVG.Selling Price</a:t>
          </a:r>
        </a:p>
      </xdr:txBody>
    </xdr:sp>
    <xdr:clientData/>
  </xdr:twoCellAnchor>
  <xdr:oneCellAnchor>
    <xdr:from>
      <xdr:col>6</xdr:col>
      <xdr:colOff>447675</xdr:colOff>
      <xdr:row>6</xdr:row>
      <xdr:rowOff>123825</xdr:rowOff>
    </xdr:from>
    <xdr:ext cx="184731" cy="264560"/>
    <xdr:sp macro="" textlink="">
      <xdr:nvSpPr>
        <xdr:cNvPr id="10" name="TextBox 9">
          <a:extLst>
            <a:ext uri="{FF2B5EF4-FFF2-40B4-BE49-F238E27FC236}">
              <a16:creationId xmlns:a16="http://schemas.microsoft.com/office/drawing/2014/main" id="{4948A524-0ED3-ADF4-5386-6D53DF5E3B99}"/>
            </a:ext>
          </a:extLst>
        </xdr:cNvPr>
        <xdr:cNvSpPr txBox="1"/>
      </xdr:nvSpPr>
      <xdr:spPr>
        <a:xfrm>
          <a:off x="4105275" y="1266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171450</xdr:colOff>
      <xdr:row>5</xdr:row>
      <xdr:rowOff>133349</xdr:rowOff>
    </xdr:from>
    <xdr:ext cx="895350" cy="344521"/>
    <xdr:sp macro="" textlink="MISUO_pivot!G9">
      <xdr:nvSpPr>
        <xdr:cNvPr id="11" name="TextBox 10">
          <a:extLst>
            <a:ext uri="{FF2B5EF4-FFF2-40B4-BE49-F238E27FC236}">
              <a16:creationId xmlns:a16="http://schemas.microsoft.com/office/drawing/2014/main" id="{7DBDAC04-1B06-ED7B-9816-29994F6FD2E5}"/>
            </a:ext>
          </a:extLst>
        </xdr:cNvPr>
        <xdr:cNvSpPr txBox="1"/>
      </xdr:nvSpPr>
      <xdr:spPr>
        <a:xfrm>
          <a:off x="4438650" y="1085849"/>
          <a:ext cx="895350" cy="344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93B6EA-7612-4473-92C0-FE9F3192788A}" type="TxLink">
            <a:rPr lang="en-US" sz="2000" b="1" i="0" u="none" strike="noStrike">
              <a:solidFill>
                <a:srgbClr val="C00000"/>
              </a:solidFill>
              <a:latin typeface="Calibri"/>
              <a:ea typeface="+mn-ea"/>
              <a:cs typeface="Calibri"/>
            </a:rPr>
            <a:pPr marL="0" indent="0" algn="ctr"/>
            <a:t>2</a:t>
          </a:fld>
          <a:endParaRPr lang="en-US" sz="2000" b="1" i="0" u="none" strike="noStrike">
            <a:solidFill>
              <a:srgbClr val="C00000"/>
            </a:solidFill>
            <a:latin typeface="Calibri"/>
            <a:ea typeface="+mn-ea"/>
            <a:cs typeface="Calibri"/>
          </a:endParaRPr>
        </a:p>
      </xdr:txBody>
    </xdr:sp>
    <xdr:clientData/>
  </xdr:oneCellAnchor>
  <xdr:oneCellAnchor>
    <xdr:from>
      <xdr:col>10</xdr:col>
      <xdr:colOff>171450</xdr:colOff>
      <xdr:row>5</xdr:row>
      <xdr:rowOff>95250</xdr:rowOff>
    </xdr:from>
    <xdr:ext cx="981075" cy="428625"/>
    <xdr:sp macro="" textlink="MISUO_pivot!L9">
      <xdr:nvSpPr>
        <xdr:cNvPr id="12" name="TextBox 11">
          <a:extLst>
            <a:ext uri="{FF2B5EF4-FFF2-40B4-BE49-F238E27FC236}">
              <a16:creationId xmlns:a16="http://schemas.microsoft.com/office/drawing/2014/main" id="{D3D790BC-A0DD-2636-F5E9-3D132D02666C}"/>
            </a:ext>
          </a:extLst>
        </xdr:cNvPr>
        <xdr:cNvSpPr txBox="1"/>
      </xdr:nvSpPr>
      <xdr:spPr>
        <a:xfrm>
          <a:off x="6267450" y="1047750"/>
          <a:ext cx="9810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6ED272-8069-4B30-8874-FFE43394341B}" type="TxLink">
            <a:rPr lang="en-US" sz="2000" b="1" i="0" u="none" strike="noStrike">
              <a:solidFill>
                <a:srgbClr val="C00000"/>
              </a:solidFill>
              <a:latin typeface="Calibri"/>
              <a:ea typeface="+mn-ea"/>
              <a:cs typeface="Calibri"/>
            </a:rPr>
            <a:pPr marL="0" indent="0" algn="ctr"/>
            <a:t>9627</a:t>
          </a:fld>
          <a:endParaRPr lang="en-US" sz="2000" b="1" i="0" u="none" strike="noStrike">
            <a:solidFill>
              <a:srgbClr val="C00000"/>
            </a:solidFill>
            <a:latin typeface="Calibri"/>
            <a:ea typeface="+mn-ea"/>
            <a:cs typeface="Calibri"/>
          </a:endParaRPr>
        </a:p>
      </xdr:txBody>
    </xdr:sp>
    <xdr:clientData/>
  </xdr:oneCellAnchor>
  <xdr:twoCellAnchor>
    <xdr:from>
      <xdr:col>3</xdr:col>
      <xdr:colOff>161924</xdr:colOff>
      <xdr:row>9</xdr:row>
      <xdr:rowOff>9525</xdr:rowOff>
    </xdr:from>
    <xdr:to>
      <xdr:col>9</xdr:col>
      <xdr:colOff>523875</xdr:colOff>
      <xdr:row>19</xdr:row>
      <xdr:rowOff>57151</xdr:rowOff>
    </xdr:to>
    <xdr:sp macro="" textlink="">
      <xdr:nvSpPr>
        <xdr:cNvPr id="13" name="Rectangle: Rounded Corners 12">
          <a:extLst>
            <a:ext uri="{FF2B5EF4-FFF2-40B4-BE49-F238E27FC236}">
              <a16:creationId xmlns:a16="http://schemas.microsoft.com/office/drawing/2014/main" id="{ACC95EDC-9605-A70E-A334-870B590F214C}"/>
            </a:ext>
          </a:extLst>
        </xdr:cNvPr>
        <xdr:cNvSpPr/>
      </xdr:nvSpPr>
      <xdr:spPr>
        <a:xfrm>
          <a:off x="1990724" y="1724025"/>
          <a:ext cx="4019551" cy="1952626"/>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Sales By Platform</a:t>
          </a:r>
        </a:p>
      </xdr:txBody>
    </xdr:sp>
    <xdr:clientData/>
  </xdr:twoCellAnchor>
  <xdr:twoCellAnchor>
    <xdr:from>
      <xdr:col>3</xdr:col>
      <xdr:colOff>161925</xdr:colOff>
      <xdr:row>19</xdr:row>
      <xdr:rowOff>142875</xdr:rowOff>
    </xdr:from>
    <xdr:to>
      <xdr:col>10</xdr:col>
      <xdr:colOff>66675</xdr:colOff>
      <xdr:row>30</xdr:row>
      <xdr:rowOff>57150</xdr:rowOff>
    </xdr:to>
    <xdr:sp macro="" textlink="">
      <xdr:nvSpPr>
        <xdr:cNvPr id="14" name="Rectangle: Rounded Corners 13">
          <a:extLst>
            <a:ext uri="{FF2B5EF4-FFF2-40B4-BE49-F238E27FC236}">
              <a16:creationId xmlns:a16="http://schemas.microsoft.com/office/drawing/2014/main" id="{EED8DDCB-A581-4CF0-A0F5-EAE0CE0391BB}"/>
            </a:ext>
          </a:extLst>
        </xdr:cNvPr>
        <xdr:cNvSpPr/>
      </xdr:nvSpPr>
      <xdr:spPr>
        <a:xfrm>
          <a:off x="1990725" y="3762375"/>
          <a:ext cx="4171950" cy="2009775"/>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Orders By Area</a:t>
          </a:r>
        </a:p>
        <a:p>
          <a:pPr marL="0" indent="0" algn="ctr"/>
          <a:endParaRPr lang="en-US" sz="1400" b="1">
            <a:solidFill>
              <a:schemeClr val="lt1"/>
            </a:solidFill>
            <a:latin typeface="+mn-lt"/>
            <a:ea typeface="+mn-ea"/>
            <a:cs typeface="+mn-cs"/>
          </a:endParaRPr>
        </a:p>
      </xdr:txBody>
    </xdr:sp>
    <xdr:clientData/>
  </xdr:twoCellAnchor>
  <xdr:twoCellAnchor>
    <xdr:from>
      <xdr:col>3</xdr:col>
      <xdr:colOff>228600</xdr:colOff>
      <xdr:row>11</xdr:row>
      <xdr:rowOff>36634</xdr:rowOff>
    </xdr:from>
    <xdr:to>
      <xdr:col>9</xdr:col>
      <xdr:colOff>247649</xdr:colOff>
      <xdr:row>18</xdr:row>
      <xdr:rowOff>38100</xdr:rowOff>
    </xdr:to>
    <xdr:graphicFrame macro="">
      <xdr:nvGraphicFramePr>
        <xdr:cNvPr id="16" name="Chart 15">
          <a:extLst>
            <a:ext uri="{FF2B5EF4-FFF2-40B4-BE49-F238E27FC236}">
              <a16:creationId xmlns:a16="http://schemas.microsoft.com/office/drawing/2014/main" id="{62AB017A-C518-47AC-BB05-FE23026E1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276226</xdr:colOff>
      <xdr:row>21</xdr:row>
      <xdr:rowOff>180974</xdr:rowOff>
    </xdr:from>
    <xdr:to>
      <xdr:col>9</xdr:col>
      <xdr:colOff>400050</xdr:colOff>
      <xdr:row>29</xdr:row>
      <xdr:rowOff>133349</xdr:rowOff>
    </xdr:to>
    <xdr:graphicFrame macro="">
      <xdr:nvGraphicFramePr>
        <xdr:cNvPr id="17" name="Chart 16">
          <a:extLst>
            <a:ext uri="{FF2B5EF4-FFF2-40B4-BE49-F238E27FC236}">
              <a16:creationId xmlns:a16="http://schemas.microsoft.com/office/drawing/2014/main" id="{718413D7-C7CE-4773-8305-A577920C2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428625</xdr:colOff>
      <xdr:row>3</xdr:row>
      <xdr:rowOff>104775</xdr:rowOff>
    </xdr:from>
    <xdr:to>
      <xdr:col>18</xdr:col>
      <xdr:colOff>61057</xdr:colOff>
      <xdr:row>8</xdr:row>
      <xdr:rowOff>133350</xdr:rowOff>
    </xdr:to>
    <xdr:sp macro="" textlink="">
      <xdr:nvSpPr>
        <xdr:cNvPr id="18" name="Rectangle: Rounded Corners 17">
          <a:extLst>
            <a:ext uri="{FF2B5EF4-FFF2-40B4-BE49-F238E27FC236}">
              <a16:creationId xmlns:a16="http://schemas.microsoft.com/office/drawing/2014/main" id="{CCA51034-5E76-BE73-7628-7E21DD7D686A}"/>
            </a:ext>
          </a:extLst>
        </xdr:cNvPr>
        <xdr:cNvSpPr/>
      </xdr:nvSpPr>
      <xdr:spPr>
        <a:xfrm>
          <a:off x="7755548" y="690929"/>
          <a:ext cx="3295894" cy="1005498"/>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bg1"/>
              </a:solidFill>
              <a:latin typeface="+mn-lt"/>
              <a:ea typeface="+mn-ea"/>
              <a:cs typeface="+mn-cs"/>
            </a:rPr>
            <a:t>On-Time Delivery Rate</a:t>
          </a:r>
        </a:p>
        <a:p>
          <a:pPr marL="0" indent="0" algn="ctr"/>
          <a:endParaRPr lang="en-US" sz="1400" b="1">
            <a:solidFill>
              <a:schemeClr val="bg1"/>
            </a:solidFill>
            <a:latin typeface="+mn-lt"/>
            <a:ea typeface="+mn-ea"/>
            <a:cs typeface="+mn-cs"/>
          </a:endParaRPr>
        </a:p>
      </xdr:txBody>
    </xdr:sp>
    <xdr:clientData/>
  </xdr:twoCellAnchor>
  <xdr:twoCellAnchor>
    <xdr:from>
      <xdr:col>12</xdr:col>
      <xdr:colOff>457695</xdr:colOff>
      <xdr:row>5</xdr:row>
      <xdr:rowOff>98961</xdr:rowOff>
    </xdr:from>
    <xdr:to>
      <xdr:col>18</xdr:col>
      <xdr:colOff>12369</xdr:colOff>
      <xdr:row>8</xdr:row>
      <xdr:rowOff>159384</xdr:rowOff>
    </xdr:to>
    <xdr:graphicFrame macro="">
      <xdr:nvGraphicFramePr>
        <xdr:cNvPr id="20" name="Chart 19">
          <a:extLst>
            <a:ext uri="{FF2B5EF4-FFF2-40B4-BE49-F238E27FC236}">
              <a16:creationId xmlns:a16="http://schemas.microsoft.com/office/drawing/2014/main" id="{F2750E74-C5F2-4A71-B008-239C8C8DD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593725</xdr:colOff>
      <xdr:row>9</xdr:row>
      <xdr:rowOff>48817</xdr:rowOff>
    </xdr:from>
    <xdr:to>
      <xdr:col>14</xdr:col>
      <xdr:colOff>488950</xdr:colOff>
      <xdr:row>19</xdr:row>
      <xdr:rowOff>46436</xdr:rowOff>
    </xdr:to>
    <xdr:sp macro="" textlink="">
      <xdr:nvSpPr>
        <xdr:cNvPr id="23" name="Rectangle: Rounded Corners 22">
          <a:extLst>
            <a:ext uri="{FF2B5EF4-FFF2-40B4-BE49-F238E27FC236}">
              <a16:creationId xmlns:a16="http://schemas.microsoft.com/office/drawing/2014/main" id="{A913A8A3-9120-AA61-E65D-01C59A7162EB}"/>
            </a:ext>
          </a:extLst>
        </xdr:cNvPr>
        <xdr:cNvSpPr/>
      </xdr:nvSpPr>
      <xdr:spPr>
        <a:xfrm>
          <a:off x="6080125" y="1763317"/>
          <a:ext cx="2943225" cy="1902619"/>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bg1"/>
              </a:solidFill>
              <a:latin typeface="+mn-lt"/>
              <a:ea typeface="+mn-ea"/>
              <a:cs typeface="+mn-cs"/>
            </a:rPr>
            <a:t>Delivery Status</a:t>
          </a:r>
        </a:p>
        <a:p>
          <a:pPr marL="0" indent="0" algn="ctr"/>
          <a:endParaRPr lang="en-US" sz="1400" b="1">
            <a:solidFill>
              <a:schemeClr val="bg1"/>
            </a:solidFill>
            <a:latin typeface="+mn-lt"/>
            <a:ea typeface="+mn-ea"/>
            <a:cs typeface="+mn-cs"/>
          </a:endParaRPr>
        </a:p>
      </xdr:txBody>
    </xdr:sp>
    <xdr:clientData/>
  </xdr:twoCellAnchor>
  <xdr:twoCellAnchor>
    <xdr:from>
      <xdr:col>10</xdr:col>
      <xdr:colOff>238126</xdr:colOff>
      <xdr:row>19</xdr:row>
      <xdr:rowOff>133351</xdr:rowOff>
    </xdr:from>
    <xdr:to>
      <xdr:col>17</xdr:col>
      <xdr:colOff>542925</xdr:colOff>
      <xdr:row>30</xdr:row>
      <xdr:rowOff>76201</xdr:rowOff>
    </xdr:to>
    <xdr:sp macro="" textlink="">
      <xdr:nvSpPr>
        <xdr:cNvPr id="25" name="Rectangle: Rounded Corners 24">
          <a:extLst>
            <a:ext uri="{FF2B5EF4-FFF2-40B4-BE49-F238E27FC236}">
              <a16:creationId xmlns:a16="http://schemas.microsoft.com/office/drawing/2014/main" id="{D6242DAD-B667-19B9-AD05-6C36C469A3D6}"/>
            </a:ext>
          </a:extLst>
        </xdr:cNvPr>
        <xdr:cNvSpPr/>
      </xdr:nvSpPr>
      <xdr:spPr>
        <a:xfrm>
          <a:off x="6334126" y="3752851"/>
          <a:ext cx="4571999" cy="2038350"/>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Best Color Sold</a:t>
          </a:r>
        </a:p>
        <a:p>
          <a:pPr marL="0" indent="0" algn="ctr"/>
          <a:endParaRPr lang="en-US" sz="1400" b="1">
            <a:solidFill>
              <a:schemeClr val="lt1"/>
            </a:solidFill>
            <a:latin typeface="+mn-lt"/>
            <a:ea typeface="+mn-ea"/>
            <a:cs typeface="+mn-cs"/>
          </a:endParaRPr>
        </a:p>
      </xdr:txBody>
    </xdr:sp>
    <xdr:clientData/>
  </xdr:twoCellAnchor>
  <xdr:twoCellAnchor>
    <xdr:from>
      <xdr:col>10</xdr:col>
      <xdr:colOff>342900</xdr:colOff>
      <xdr:row>22</xdr:row>
      <xdr:rowOff>9525</xdr:rowOff>
    </xdr:from>
    <xdr:to>
      <xdr:col>17</xdr:col>
      <xdr:colOff>190500</xdr:colOff>
      <xdr:row>29</xdr:row>
      <xdr:rowOff>76200</xdr:rowOff>
    </xdr:to>
    <xdr:graphicFrame macro="">
      <xdr:nvGraphicFramePr>
        <xdr:cNvPr id="26" name="Chart 25">
          <a:extLst>
            <a:ext uri="{FF2B5EF4-FFF2-40B4-BE49-F238E27FC236}">
              <a16:creationId xmlns:a16="http://schemas.microsoft.com/office/drawing/2014/main" id="{E251348F-8F85-4CD9-81B1-033C650F2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558800</xdr:colOff>
      <xdr:row>9</xdr:row>
      <xdr:rowOff>38101</xdr:rowOff>
    </xdr:from>
    <xdr:to>
      <xdr:col>18</xdr:col>
      <xdr:colOff>34925</xdr:colOff>
      <xdr:row>19</xdr:row>
      <xdr:rowOff>85727</xdr:rowOff>
    </xdr:to>
    <xdr:sp macro="" textlink="">
      <xdr:nvSpPr>
        <xdr:cNvPr id="28" name="Rectangle: Rounded Corners 27">
          <a:extLst>
            <a:ext uri="{FF2B5EF4-FFF2-40B4-BE49-F238E27FC236}">
              <a16:creationId xmlns:a16="http://schemas.microsoft.com/office/drawing/2014/main" id="{8B4AA988-621F-21A2-E2E5-DDE5F2A1DBC3}"/>
            </a:ext>
          </a:extLst>
        </xdr:cNvPr>
        <xdr:cNvSpPr/>
      </xdr:nvSpPr>
      <xdr:spPr>
        <a:xfrm>
          <a:off x="9093200" y="1752601"/>
          <a:ext cx="1914525" cy="1952626"/>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Customers Types</a:t>
          </a:r>
        </a:p>
        <a:p>
          <a:pPr marL="0" indent="0" algn="ctr"/>
          <a:endParaRPr lang="en-US" sz="1400" b="1">
            <a:solidFill>
              <a:schemeClr val="lt1"/>
            </a:solidFill>
            <a:latin typeface="+mn-lt"/>
            <a:ea typeface="+mn-ea"/>
            <a:cs typeface="+mn-cs"/>
          </a:endParaRPr>
        </a:p>
      </xdr:txBody>
    </xdr:sp>
    <xdr:clientData/>
  </xdr:twoCellAnchor>
  <xdr:twoCellAnchor>
    <xdr:from>
      <xdr:col>15</xdr:col>
      <xdr:colOff>85725</xdr:colOff>
      <xdr:row>11</xdr:row>
      <xdr:rowOff>123825</xdr:rowOff>
    </xdr:from>
    <xdr:to>
      <xdr:col>17</xdr:col>
      <xdr:colOff>514351</xdr:colOff>
      <xdr:row>18</xdr:row>
      <xdr:rowOff>47625</xdr:rowOff>
    </xdr:to>
    <xdr:graphicFrame macro="">
      <xdr:nvGraphicFramePr>
        <xdr:cNvPr id="29" name="Chart 28">
          <a:extLst>
            <a:ext uri="{FF2B5EF4-FFF2-40B4-BE49-F238E27FC236}">
              <a16:creationId xmlns:a16="http://schemas.microsoft.com/office/drawing/2014/main" id="{472138D3-CEA7-48D2-8399-7EF343E4A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104774</xdr:colOff>
      <xdr:row>3</xdr:row>
      <xdr:rowOff>108857</xdr:rowOff>
    </xdr:from>
    <xdr:to>
      <xdr:col>24</xdr:col>
      <xdr:colOff>361949</xdr:colOff>
      <xdr:row>31</xdr:row>
      <xdr:rowOff>9525</xdr:rowOff>
    </xdr:to>
    <xdr:sp macro="" textlink="">
      <xdr:nvSpPr>
        <xdr:cNvPr id="30" name="Rectangle: Rounded Corners 29">
          <a:extLst>
            <a:ext uri="{FF2B5EF4-FFF2-40B4-BE49-F238E27FC236}">
              <a16:creationId xmlns:a16="http://schemas.microsoft.com/office/drawing/2014/main" id="{D18F771F-4009-554D-969F-66282FA962CB}"/>
            </a:ext>
          </a:extLst>
        </xdr:cNvPr>
        <xdr:cNvSpPr/>
      </xdr:nvSpPr>
      <xdr:spPr>
        <a:xfrm>
          <a:off x="11126560" y="680357"/>
          <a:ext cx="3931103" cy="5234668"/>
        </a:xfrm>
        <a:prstGeom prst="roundRect">
          <a:avLst/>
        </a:prstGeom>
        <a:solidFill>
          <a:srgbClr val="1C2D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Best Seller</a:t>
          </a:r>
        </a:p>
        <a:p>
          <a:pPr marL="0" indent="0" algn="ctr"/>
          <a:r>
            <a:rPr lang="en-US" sz="1400" b="1">
              <a:solidFill>
                <a:schemeClr val="lt1"/>
              </a:solidFill>
              <a:latin typeface="+mn-lt"/>
              <a:ea typeface="+mn-ea"/>
              <a:cs typeface="+mn-cs"/>
            </a:rPr>
            <a:t> </a:t>
          </a:r>
        </a:p>
      </xdr:txBody>
    </xdr:sp>
    <xdr:clientData/>
  </xdr:twoCellAnchor>
  <xdr:twoCellAnchor>
    <xdr:from>
      <xdr:col>18</xdr:col>
      <xdr:colOff>266700</xdr:colOff>
      <xdr:row>6</xdr:row>
      <xdr:rowOff>114301</xdr:rowOff>
    </xdr:from>
    <xdr:to>
      <xdr:col>23</xdr:col>
      <xdr:colOff>590550</xdr:colOff>
      <xdr:row>29</xdr:row>
      <xdr:rowOff>57151</xdr:rowOff>
    </xdr:to>
    <xdr:graphicFrame macro="">
      <xdr:nvGraphicFramePr>
        <xdr:cNvPr id="31" name="Chart 30">
          <a:extLst>
            <a:ext uri="{FF2B5EF4-FFF2-40B4-BE49-F238E27FC236}">
              <a16:creationId xmlns:a16="http://schemas.microsoft.com/office/drawing/2014/main" id="{BEFC0EA0-82F7-4093-B28E-AE5197054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485776</xdr:colOff>
      <xdr:row>5</xdr:row>
      <xdr:rowOff>142876</xdr:rowOff>
    </xdr:from>
    <xdr:to>
      <xdr:col>5</xdr:col>
      <xdr:colOff>581026</xdr:colOff>
      <xdr:row>7</xdr:row>
      <xdr:rowOff>104775</xdr:rowOff>
    </xdr:to>
    <xdr:sp macro="" textlink="MISUO_pivot!B9">
      <xdr:nvSpPr>
        <xdr:cNvPr id="32" name="TextBox 31">
          <a:extLst>
            <a:ext uri="{FF2B5EF4-FFF2-40B4-BE49-F238E27FC236}">
              <a16:creationId xmlns:a16="http://schemas.microsoft.com/office/drawing/2014/main" id="{78912C46-EAFC-C8B8-88A1-54C0CA0FF6EF}"/>
            </a:ext>
          </a:extLst>
        </xdr:cNvPr>
        <xdr:cNvSpPr txBox="1"/>
      </xdr:nvSpPr>
      <xdr:spPr>
        <a:xfrm>
          <a:off x="2314576" y="1095376"/>
          <a:ext cx="131445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A2CF2A-8157-4DBA-BDCD-ACE25714069C}" type="TxLink">
            <a:rPr lang="en-US" sz="2000" b="1" i="0" u="none" strike="noStrike">
              <a:solidFill>
                <a:srgbClr val="C00000"/>
              </a:solidFill>
              <a:latin typeface="Calibri"/>
              <a:cs typeface="Calibri"/>
            </a:rPr>
            <a:pPr algn="ctr"/>
            <a:t> -   </a:t>
          </a:fld>
          <a:endParaRPr lang="en-US" sz="2000" b="1">
            <a:solidFill>
              <a:srgbClr val="C00000"/>
            </a:solidFill>
          </a:endParaRPr>
        </a:p>
      </xdr:txBody>
    </xdr:sp>
    <xdr:clientData/>
  </xdr:twoCellAnchor>
  <xdr:twoCellAnchor>
    <xdr:from>
      <xdr:col>10</xdr:col>
      <xdr:colOff>28575</xdr:colOff>
      <xdr:row>11</xdr:row>
      <xdr:rowOff>19050</xdr:rowOff>
    </xdr:from>
    <xdr:to>
      <xdr:col>14</xdr:col>
      <xdr:colOff>333375</xdr:colOff>
      <xdr:row>18</xdr:row>
      <xdr:rowOff>0</xdr:rowOff>
    </xdr:to>
    <xdr:graphicFrame macro="">
      <xdr:nvGraphicFramePr>
        <xdr:cNvPr id="35" name="Chart 34">
          <a:extLst>
            <a:ext uri="{FF2B5EF4-FFF2-40B4-BE49-F238E27FC236}">
              <a16:creationId xmlns:a16="http://schemas.microsoft.com/office/drawing/2014/main" id="{2D832AC1-ACF2-4E5B-864F-690A1A6DB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152400</xdr:colOff>
      <xdr:row>0</xdr:row>
      <xdr:rowOff>104775</xdr:rowOff>
    </xdr:from>
    <xdr:to>
      <xdr:col>3</xdr:col>
      <xdr:colOff>9524</xdr:colOff>
      <xdr:row>9</xdr:row>
      <xdr:rowOff>47625</xdr:rowOff>
    </xdr:to>
    <xdr:pic>
      <xdr:nvPicPr>
        <xdr:cNvPr id="37" name="Picture 36">
          <a:extLst>
            <a:ext uri="{FF2B5EF4-FFF2-40B4-BE49-F238E27FC236}">
              <a16:creationId xmlns:a16="http://schemas.microsoft.com/office/drawing/2014/main" id="{0BD4CD47-F2DA-1E28-2D03-EA40DAF35A6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2400" y="104775"/>
          <a:ext cx="1685924" cy="1657350"/>
        </a:xfrm>
        <a:prstGeom prst="flowChartConnector">
          <a:avLst/>
        </a:prstGeom>
        <a:ln>
          <a:solidFill>
            <a:schemeClr val="bg1">
              <a:lumMod val="95000"/>
            </a:schemeClr>
          </a:solidFill>
        </a:ln>
      </xdr:spPr>
    </xdr:pic>
    <xdr:clientData/>
  </xdr:twoCellAnchor>
  <xdr:twoCellAnchor editAs="oneCell">
    <xdr:from>
      <xdr:col>0</xdr:col>
      <xdr:colOff>85724</xdr:colOff>
      <xdr:row>9</xdr:row>
      <xdr:rowOff>171450</xdr:rowOff>
    </xdr:from>
    <xdr:to>
      <xdr:col>3</xdr:col>
      <xdr:colOff>57149</xdr:colOff>
      <xdr:row>14</xdr:row>
      <xdr:rowOff>171450</xdr:rowOff>
    </xdr:to>
    <mc:AlternateContent xmlns:mc="http://schemas.openxmlformats.org/markup-compatibility/2006" xmlns:a14="http://schemas.microsoft.com/office/drawing/2010/main">
      <mc:Choice Requires="a14">
        <xdr:graphicFrame macro="">
          <xdr:nvGraphicFramePr>
            <xdr:cNvPr id="55" name="نوع العميل">
              <a:extLst>
                <a:ext uri="{FF2B5EF4-FFF2-40B4-BE49-F238E27FC236}">
                  <a16:creationId xmlns:a16="http://schemas.microsoft.com/office/drawing/2014/main" id="{6D352DAF-0676-4278-9FF5-7E2139E47CB6}"/>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85724" y="1841418"/>
              <a:ext cx="1789834" cy="927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76201</xdr:colOff>
      <xdr:row>14</xdr:row>
      <xdr:rowOff>161925</xdr:rowOff>
    </xdr:from>
    <xdr:to>
      <xdr:col>3</xdr:col>
      <xdr:colOff>66675</xdr:colOff>
      <xdr:row>20</xdr:row>
      <xdr:rowOff>171450</xdr:rowOff>
    </xdr:to>
    <mc:AlternateContent xmlns:mc="http://schemas.openxmlformats.org/markup-compatibility/2006" xmlns:a14="http://schemas.microsoft.com/office/drawing/2010/main">
      <mc:Choice Requires="a14">
        <xdr:graphicFrame macro="">
          <xdr:nvGraphicFramePr>
            <xdr:cNvPr id="57" name="الحالة">
              <a:extLst>
                <a:ext uri="{FF2B5EF4-FFF2-40B4-BE49-F238E27FC236}">
                  <a16:creationId xmlns:a16="http://schemas.microsoft.com/office/drawing/2014/main" id="{0ABCF333-A1BD-4963-AA73-CA1232840634}"/>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76201" y="2759652"/>
              <a:ext cx="1808883" cy="1122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42252</xdr:colOff>
      <xdr:row>21</xdr:row>
      <xdr:rowOff>3175</xdr:rowOff>
    </xdr:from>
    <xdr:to>
      <xdr:col>3</xdr:col>
      <xdr:colOff>51777</xdr:colOff>
      <xdr:row>30</xdr:row>
      <xdr:rowOff>84260</xdr:rowOff>
    </xdr:to>
    <mc:AlternateContent xmlns:mc="http://schemas.openxmlformats.org/markup-compatibility/2006" xmlns:a14="http://schemas.microsoft.com/office/drawing/2010/main">
      <mc:Choice Requires="a14">
        <xdr:graphicFrame macro="">
          <xdr:nvGraphicFramePr>
            <xdr:cNvPr id="58" name="منصة البيع ">
              <a:extLst>
                <a:ext uri="{FF2B5EF4-FFF2-40B4-BE49-F238E27FC236}">
                  <a16:creationId xmlns:a16="http://schemas.microsoft.com/office/drawing/2014/main" id="{5D4879BD-16DE-4255-B137-EDA101A1B7F2}"/>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42252" y="3899766"/>
              <a:ext cx="1827934" cy="1751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11.053578240739" createdVersion="8" refreshedVersion="8" minRefreshableVersion="3" recordCount="126" xr:uid="{6EE0C014-A17F-419A-99BA-4E8398DFA0AA}">
  <cacheSource type="worksheet">
    <worksheetSource name="MISUO"/>
  </cacheSource>
  <cacheFields count="24">
    <cacheField name="أسم العميل" numFmtId="0">
      <sharedItems/>
    </cacheField>
    <cacheField name="نوع العميل" numFmtId="0">
      <sharedItems count="2">
        <s v="أفراد"/>
        <s v="شركات"/>
      </sharedItems>
    </cacheField>
    <cacheField name="العنوان" numFmtId="0">
      <sharedItems containsBlank="1"/>
    </cacheField>
    <cacheField name="المحافظة" numFmtId="0">
      <sharedItems containsBlank="1" count="8">
        <s v="الجيزة"/>
        <s v="الإسكندرية"/>
        <s v="مطروح"/>
        <s v="البحر الأحمر"/>
        <m/>
        <s v="القاهرة"/>
        <s v="السويس"/>
        <s v="أسيوط"/>
      </sharedItems>
    </cacheField>
    <cacheField name="منصة البيع " numFmtId="0">
      <sharedItems count="8">
        <s v="هومزمارت"/>
        <s v="شيك هومز"/>
        <s v="فيس بوك"/>
        <s v="تاكى"/>
        <s v="اوسكار ريتن "/>
        <s v="السويس"/>
        <s v="منزلى"/>
        <s v="كيمت "/>
      </sharedItems>
    </cacheField>
    <cacheField name="نوع المنتج" numFmtId="0">
      <sharedItems count="6">
        <s v="سرير"/>
        <s v="ترابيزه"/>
        <s v="كنبة "/>
        <s v="ركنة"/>
        <s v="كرسى"/>
        <s v="شيزلونج"/>
      </sharedItems>
    </cacheField>
    <cacheField name="تصنيف المنتج" numFmtId="0">
      <sharedItems containsBlank="1" count="19">
        <s v="منطبق"/>
        <s v="دورين"/>
        <m/>
        <s v="4×1"/>
        <s v="فردى"/>
        <s v="ركنة بسرير"/>
        <s v="سحارة"/>
        <s v="2 ميكانزم"/>
        <s v="فنسيا"/>
        <s v="رف سحاب"/>
        <s v="ثلاثه ادوار"/>
        <s v="بمكتبة"/>
        <s v="فنيسيا"/>
        <s v="دورين "/>
        <s v="فردى "/>
        <s v="t1"/>
        <s v="دوران "/>
        <s v="٢ ميكانزم"/>
        <s v="دوران"/>
      </sharedItems>
    </cacheField>
    <cacheField name="الاسم" numFmtId="0">
      <sharedItems containsBlank="1"/>
    </cacheField>
    <cacheField name="اللون المعتمد" numFmtId="0">
      <sharedItems containsBlank="1" count="12">
        <s v="أبيض"/>
        <s v="أسود"/>
        <s v="أزرق"/>
        <m/>
        <s v="رمادي"/>
        <s v="ذهبي ورمادي"/>
        <s v="بنفسجي"/>
        <s v="اسود وبنى"/>
        <s v="ملون"/>
        <s v="بينك"/>
        <s v="نبيتى "/>
        <s v="دهبي"/>
      </sharedItems>
    </cacheField>
    <cacheField name="المقاس" numFmtId="0">
      <sharedItems containsBlank="1" containsMixedTypes="1" containsNumber="1" containsInteger="1" minValue="80" maxValue="160"/>
    </cacheField>
    <cacheField name="المنتج" numFmtId="0">
      <sharedItems containsBlank="1" count="44">
        <s v="سرير منطبق الحديد ابيض والقماش ابيض"/>
        <s v="سرير منطبق اسود والقماش اسود"/>
        <s v="سرير كيفنج مقاس 90 لون ازرق"/>
        <s v="ترابيزه قهوه متحركه"/>
        <s v="سرير نوفال متر رمادى"/>
        <s v="كنبه سرير رمادى"/>
        <s v="سرير فردى ابيض"/>
        <s v="ركنه"/>
        <s v="كنبه سحاره بمخدع"/>
        <s v="كنبه سحاره بدون مخدع"/>
        <s v="سرير نوفال ابيض مقاس ٨٠"/>
        <s v="سرير فردى خشب موسكى الحديد ابيض مقاس ٨٠"/>
        <s v="ترابيزه قهوه علويه جديده"/>
        <s v="سرير كيفنج ١٢٠ اسود"/>
        <s v="سرير كينج ابيض مقاس ٨٠ التصميم الجديد"/>
        <s v="فوتيه فنيسيا"/>
        <s v="سرير اسبانى ابيض ١٢٠"/>
        <s v="سرير كينج ابيض"/>
        <s v="سرير كينج اسود"/>
        <s v="سرير فورجينا خشب موسكى ابيض مقاس ١٢٠"/>
        <s v="سرير ارفيل ١٢٠ اسود"/>
        <s v="ترابيزه قهوه علويه برف سحاب"/>
        <s v="سرير منطبق اسود حديد والقماش"/>
        <s v="سرير ادورا اسود مقاس ١٠٠"/>
        <s v="سرير اسبانى اسود مقاس ١٢٠"/>
        <s v="سرير كوين مقاس ١٤٠ دهبي ورمادى"/>
        <s v="سرير كيفنج ١٢٠ رمادى"/>
        <s v="سرير نوفال ٩٠ اسود"/>
        <s v="سرير كيفنج ١٠٠ اسود"/>
        <s v="سرير ادوار ابيض مقاس ٨٠ ابيض"/>
        <s v="سرير كيفنج دورين مقاس ٨٠ ابيض"/>
        <s v="سرير استيل ازرق مقاس ١٤٠"/>
        <s v="سرير كينج ١٢٠ بنفسجى"/>
        <s v="كنبه سرير حركه"/>
        <s v="سرير ادوار اسود مقاس ٩٠"/>
        <s v="ترابيزه قهوه رافع"/>
        <s v="سرير منطبق اسود حديد"/>
        <s v="سرير اسبانى ١٤٠ اسود وبيج"/>
        <s v="ترابيزه قهوه مرتفعه برف سحاب"/>
        <s v="سرير فورجينا ابيض مقاس ١٢٠"/>
        <s v="سرير كيفنج دورين مقاس ١٢٠ رمادى"/>
        <s v="سرير نوفال ١٠٠ رمادى"/>
        <s v="سرير نوفال مقاس ٨٠ ابيض"/>
        <m/>
      </sharedItems>
    </cacheField>
    <cacheField name="الصنف" numFmtId="0">
      <sharedItems containsBlank="1"/>
    </cacheField>
    <cacheField name="الكمية" numFmtId="0">
      <sharedItems containsString="0" containsBlank="1" containsNumber="1" containsInteger="1" minValue="1" maxValue="4"/>
    </cacheField>
    <cacheField name="نوع الصنف" numFmtId="0">
      <sharedItems containsBlank="1"/>
    </cacheField>
    <cacheField name="سعر البيع " numFmtId="167">
      <sharedItems containsString="0" containsBlank="1" containsNumber="1" minValue="4020" maxValue="22000"/>
    </cacheField>
    <cacheField name="إجمالي البيع" numFmtId="167">
      <sharedItems containsSemiMixedTypes="0" containsString="0" containsNumber="1" minValue="0" maxValue="35772"/>
    </cacheField>
    <cacheField name="صافي المبيعات" numFmtId="167">
      <sharedItems containsSemiMixedTypes="0" containsString="0" containsNumber="1" minValue="-7849" maxValue="31948"/>
    </cacheField>
    <cacheField name="طريقه الدفع " numFmtId="0">
      <sharedItems containsBlank="1"/>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3-12T00:00:00" maxDate="2025-01-06T00:00:00"/>
    </cacheField>
    <cacheField name="تاريخ التسليم" numFmtId="14">
      <sharedItems containsNonDate="0" containsDate="1" containsString="0" containsBlank="1" minDate="2024-08-10T00:00:00" maxDate="2024-12-30T00:00:00"/>
    </cacheField>
    <cacheField name="التسليم في الموعد" numFmtId="14">
      <sharedItems count="3">
        <s v="متأخر"/>
        <s v="لم يتم"/>
        <s v="في الموعد"/>
      </sharedItems>
    </cacheField>
    <cacheField name="المسئول عن التسليم" numFmtId="0">
      <sharedItems containsBlank="1" count="6">
        <s v="تم التسليم عن طريق شركه شحن "/>
        <m/>
        <s v="تم تسليم العميل عن طريق شركه شحن "/>
        <s v="تم التسليم محمود على "/>
        <s v="تم التسليم بمعرفه الحج سيد "/>
        <s v="تم التسليم م محمد "/>
      </sharedItems>
    </cacheField>
    <cacheField name="الحالة" numFmtId="0">
      <sharedItems count="3">
        <s v="تم التسليم"/>
        <s v="مرفوض"/>
        <s v="مرتجع"/>
      </sharedItems>
    </cacheField>
  </cacheFields>
  <extLst>
    <ext xmlns:x14="http://schemas.microsoft.com/office/spreadsheetml/2009/9/main" uri="{725AE2AE-9491-48be-B2B4-4EB974FC3084}">
      <x14:pivotCacheDefinition pivotCacheId="1245201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
    <x v="0"/>
    <s v="العجوزه - الجيزه"/>
    <x v="0"/>
    <x v="0"/>
    <x v="0"/>
    <x v="0"/>
    <m/>
    <x v="0"/>
    <m/>
    <x v="0"/>
    <s v="سرير"/>
    <n v="1"/>
    <s v="منطبق"/>
    <n v="10160"/>
    <n v="10160"/>
    <n v="10160"/>
    <s v="مسبق الدفع"/>
    <d v="2024-07-27T00:00:00"/>
    <m/>
    <d v="2024-08-10T00:00:00"/>
    <x v="0"/>
    <x v="0"/>
    <x v="0"/>
  </r>
  <r>
    <s v="محمود"/>
    <x v="0"/>
    <s v="سموحه - اسكندريه"/>
    <x v="1"/>
    <x v="0"/>
    <x v="0"/>
    <x v="0"/>
    <m/>
    <x v="1"/>
    <m/>
    <x v="1"/>
    <s v="سرير"/>
    <n v="1"/>
    <s v="منطبق"/>
    <n v="10160"/>
    <n v="10160"/>
    <n v="10160"/>
    <s v="كاش"/>
    <d v="2024-07-28T00:00:00"/>
    <m/>
    <d v="2024-08-11T00:00:00"/>
    <x v="0"/>
    <x v="0"/>
    <x v="0"/>
  </r>
  <r>
    <s v="سعيد"/>
    <x v="0"/>
    <s v="سيدى عبد الرحمن - الساحل الشمالى "/>
    <x v="2"/>
    <x v="0"/>
    <x v="0"/>
    <x v="1"/>
    <s v="كينج"/>
    <x v="2"/>
    <n v="90"/>
    <x v="2"/>
    <s v="سرير"/>
    <n v="1"/>
    <s v="كيفنج"/>
    <n v="11455"/>
    <n v="11455"/>
    <n v="0"/>
    <s v="كاش"/>
    <d v="2024-07-27T00:00:00"/>
    <m/>
    <m/>
    <x v="1"/>
    <x v="1"/>
    <x v="1"/>
  </r>
  <r>
    <s v="ساندرا"/>
    <x v="0"/>
    <s v="الغردقه "/>
    <x v="3"/>
    <x v="0"/>
    <x v="1"/>
    <x v="2"/>
    <m/>
    <x v="3"/>
    <m/>
    <x v="3"/>
    <s v="ترابيزة"/>
    <n v="1"/>
    <s v="متحركة"/>
    <n v="8642"/>
    <n v="8642"/>
    <n v="8642"/>
    <s v="مسبق الدفع"/>
    <d v="2024-08-25T00:00:00"/>
    <d v="2024-09-07T00:00:00"/>
    <d v="2024-08-27T00:00:00"/>
    <x v="2"/>
    <x v="0"/>
    <x v="0"/>
  </r>
  <r>
    <s v="زينا "/>
    <x v="0"/>
    <s v="سيدى عبد الرحمن - الساحل الشمالى "/>
    <x v="2"/>
    <x v="0"/>
    <x v="0"/>
    <x v="1"/>
    <s v="نوفال"/>
    <x v="4"/>
    <n v="100"/>
    <x v="4"/>
    <s v="سرير"/>
    <n v="1"/>
    <s v="نوفال"/>
    <n v="12833"/>
    <n v="12833"/>
    <n v="0"/>
    <s v="كاش"/>
    <d v="2024-08-16T00:00:00"/>
    <d v="2024-08-31T00:00:00"/>
    <m/>
    <x v="1"/>
    <x v="1"/>
    <x v="1"/>
  </r>
  <r>
    <s v="شيك هومز "/>
    <x v="1"/>
    <m/>
    <x v="4"/>
    <x v="1"/>
    <x v="2"/>
    <x v="3"/>
    <s v="ارينا"/>
    <x v="4"/>
    <m/>
    <x v="5"/>
    <s v="كنبة"/>
    <n v="1"/>
    <s v="كنبة سرير"/>
    <n v="14550"/>
    <n v="14550"/>
    <n v="14550"/>
    <s v="مسبق الدفع"/>
    <d v="2024-08-14T00:00:00"/>
    <d v="2024-09-03T00:00:00"/>
    <d v="2024-09-05T00:00:00"/>
    <x v="0"/>
    <x v="0"/>
    <x v="0"/>
  </r>
  <r>
    <s v="احمد "/>
    <x v="0"/>
    <s v="التجمع الخامس"/>
    <x v="5"/>
    <x v="2"/>
    <x v="2"/>
    <x v="3"/>
    <s v="ارينا"/>
    <x v="4"/>
    <m/>
    <x v="5"/>
    <s v="كنبة"/>
    <n v="1"/>
    <s v="كنبة سرير"/>
    <n v="12000"/>
    <n v="12000"/>
    <n v="12000"/>
    <s v="كاش"/>
    <d v="2024-08-17T00:00:00"/>
    <d v="2024-08-20T00:00:00"/>
    <d v="2024-08-19T00:00:00"/>
    <x v="2"/>
    <x v="2"/>
    <x v="0"/>
  </r>
  <r>
    <s v="yilmaz"/>
    <x v="0"/>
    <s v="٦ اكتوبر الجيزه "/>
    <x v="0"/>
    <x v="0"/>
    <x v="0"/>
    <x v="4"/>
    <m/>
    <x v="0"/>
    <m/>
    <x v="6"/>
    <s v="سرير"/>
    <n v="1"/>
    <s v="فردي"/>
    <n v="7228"/>
    <n v="7228"/>
    <n v="7228"/>
    <s v="مسبق الدفع"/>
    <d v="2024-08-25T00:00:00"/>
    <d v="2024-09-03T00:00:00"/>
    <d v="2024-09-10T00:00:00"/>
    <x v="0"/>
    <x v="0"/>
    <x v="0"/>
  </r>
  <r>
    <s v="تاكى "/>
    <x v="1"/>
    <s v="العباسيه"/>
    <x v="5"/>
    <x v="3"/>
    <x v="3"/>
    <x v="5"/>
    <m/>
    <x v="3"/>
    <m/>
    <x v="7"/>
    <s v="ركنة"/>
    <n v="1"/>
    <s v="ركنة"/>
    <n v="22000"/>
    <n v="22000"/>
    <n v="22000"/>
    <s v="كاش"/>
    <d v="2024-08-19T00:00:00"/>
    <d v="2024-09-01T00:00:00"/>
    <d v="2024-09-17T00:00:00"/>
    <x v="0"/>
    <x v="1"/>
    <x v="0"/>
  </r>
  <r>
    <s v="تاكى "/>
    <x v="1"/>
    <s v="العباسيه"/>
    <x v="5"/>
    <x v="3"/>
    <x v="2"/>
    <x v="6"/>
    <m/>
    <x v="3"/>
    <m/>
    <x v="8"/>
    <s v="كنبة"/>
    <n v="2"/>
    <s v="سحارة"/>
    <n v="16000"/>
    <n v="32000"/>
    <n v="0"/>
    <s v="كاش"/>
    <m/>
    <m/>
    <m/>
    <x v="1"/>
    <x v="1"/>
    <x v="1"/>
  </r>
  <r>
    <s v="تاكى "/>
    <x v="1"/>
    <s v="العباسيه "/>
    <x v="5"/>
    <x v="3"/>
    <x v="2"/>
    <x v="6"/>
    <m/>
    <x v="3"/>
    <m/>
    <x v="9"/>
    <s v="كنبة"/>
    <n v="2"/>
    <s v="سحارة"/>
    <n v="6000"/>
    <n v="12000"/>
    <n v="12000"/>
    <s v="كاش"/>
    <d v="2024-08-25T00:00:00"/>
    <d v="2024-09-15T00:00:00"/>
    <d v="2024-09-17T00:00:00"/>
    <x v="0"/>
    <x v="3"/>
    <x v="0"/>
  </r>
  <r>
    <s v="تاكى "/>
    <x v="1"/>
    <s v="العباسيه "/>
    <x v="5"/>
    <x v="3"/>
    <x v="2"/>
    <x v="6"/>
    <m/>
    <x v="3"/>
    <m/>
    <x v="9"/>
    <s v="كنبة"/>
    <n v="2"/>
    <s v="سحارة"/>
    <n v="6000"/>
    <n v="12000"/>
    <n v="12000"/>
    <s v="كاش"/>
    <d v="2024-08-25T00:00:00"/>
    <d v="2024-09-15T00:00:00"/>
    <d v="2024-09-17T00:00:00"/>
    <x v="0"/>
    <x v="3"/>
    <x v="0"/>
  </r>
  <r>
    <s v="على رشوان "/>
    <x v="0"/>
    <s v="مصر الجديده"/>
    <x v="5"/>
    <x v="0"/>
    <x v="0"/>
    <x v="1"/>
    <s v="نوفال"/>
    <x v="0"/>
    <n v="80"/>
    <x v="10"/>
    <s v="سرير"/>
    <n v="1"/>
    <s v="نوفال"/>
    <n v="10499"/>
    <n v="10499"/>
    <n v="10499"/>
    <s v="كاش"/>
    <d v="2024-09-01T00:00:00"/>
    <d v="2024-09-16T00:00:00"/>
    <d v="2024-09-08T00:00:00"/>
    <x v="2"/>
    <x v="0"/>
    <x v="0"/>
  </r>
  <r>
    <s v="احمد فخرى "/>
    <x v="0"/>
    <s v="٦ اكتوبر الجيزه "/>
    <x v="0"/>
    <x v="0"/>
    <x v="0"/>
    <x v="4"/>
    <s v="نوفال"/>
    <x v="0"/>
    <n v="80"/>
    <x v="11"/>
    <s v="سرير"/>
    <n v="4"/>
    <s v="فردي"/>
    <n v="7295"/>
    <n v="29180"/>
    <n v="0"/>
    <s v="كاش"/>
    <d v="2024-09-05T00:00:00"/>
    <d v="2024-09-14T00:00:00"/>
    <m/>
    <x v="1"/>
    <x v="1"/>
    <x v="1"/>
  </r>
  <r>
    <s v="لينا "/>
    <x v="0"/>
    <s v="المقطم "/>
    <x v="5"/>
    <x v="0"/>
    <x v="1"/>
    <x v="7"/>
    <m/>
    <x v="3"/>
    <m/>
    <x v="12"/>
    <s v="ترابيزة"/>
    <n v="1"/>
    <s v="علوية"/>
    <n v="7849"/>
    <n v="7849"/>
    <n v="-7849"/>
    <s v="مسبق الدفع"/>
    <d v="2024-09-04T00:00:00"/>
    <d v="2024-09-16T00:00:00"/>
    <d v="2024-09-25T00:00:00"/>
    <x v="1"/>
    <x v="0"/>
    <x v="2"/>
  </r>
  <r>
    <s v="فيصل نعيم "/>
    <x v="0"/>
    <s v="التجمع الخامس "/>
    <x v="5"/>
    <x v="4"/>
    <x v="0"/>
    <x v="1"/>
    <s v="كينج"/>
    <x v="1"/>
    <n v="120"/>
    <x v="13"/>
    <s v="سرير"/>
    <n v="2"/>
    <s v="كيفنج"/>
    <n v="6180"/>
    <n v="12360"/>
    <n v="12360"/>
    <s v="كاش"/>
    <d v="2024-09-03T00:00:00"/>
    <d v="2024-09-16T00:00:00"/>
    <d v="2024-09-15T00:00:00"/>
    <x v="2"/>
    <x v="3"/>
    <x v="0"/>
  </r>
  <r>
    <s v="فيصل نعيم "/>
    <x v="0"/>
    <s v="التجمع الخامس "/>
    <x v="5"/>
    <x v="4"/>
    <x v="0"/>
    <x v="1"/>
    <s v="كينج"/>
    <x v="1"/>
    <n v="120"/>
    <x v="13"/>
    <s v="سرير"/>
    <n v="2"/>
    <s v="كيفنج"/>
    <n v="6180"/>
    <n v="12360"/>
    <n v="12360"/>
    <s v="كاش"/>
    <d v="2024-09-03T00:00:00"/>
    <d v="2024-09-16T00:00:00"/>
    <d v="2024-09-15T00:00:00"/>
    <x v="2"/>
    <x v="3"/>
    <x v="0"/>
  </r>
  <r>
    <s v="ellho elkafy"/>
    <x v="0"/>
    <s v="مدينه نصر "/>
    <x v="5"/>
    <x v="0"/>
    <x v="0"/>
    <x v="1"/>
    <s v="كينج"/>
    <x v="0"/>
    <n v="80"/>
    <x v="14"/>
    <s v="سرير"/>
    <n v="1"/>
    <s v="كينج"/>
    <n v="11199"/>
    <n v="11199"/>
    <n v="0"/>
    <s v="كاش"/>
    <d v="2024-09-04T00:00:00"/>
    <d v="2024-09-18T00:00:00"/>
    <m/>
    <x v="1"/>
    <x v="1"/>
    <x v="1"/>
  </r>
  <r>
    <s v="احمد "/>
    <x v="0"/>
    <s v="القاهره الجديده"/>
    <x v="5"/>
    <x v="0"/>
    <x v="0"/>
    <x v="4"/>
    <s v="فورجينا"/>
    <x v="0"/>
    <n v="80"/>
    <x v="11"/>
    <s v="سرير"/>
    <n v="4"/>
    <s v="فردي"/>
    <n v="7987"/>
    <n v="31948"/>
    <n v="31948"/>
    <s v="مسبق الدفع"/>
    <d v="2024-09-06T00:00:00"/>
    <d v="2024-09-16T00:00:00"/>
    <d v="2024-09-21T00:00:00"/>
    <x v="0"/>
    <x v="3"/>
    <x v="0"/>
  </r>
  <r>
    <s v="تاكى"/>
    <x v="1"/>
    <s v="العباسيه"/>
    <x v="5"/>
    <x v="3"/>
    <x v="4"/>
    <x v="8"/>
    <m/>
    <x v="3"/>
    <m/>
    <x v="15"/>
    <s v="فوتيه"/>
    <n v="2"/>
    <s v="فوتيه"/>
    <n v="9300"/>
    <n v="18600"/>
    <n v="18600"/>
    <s v="كاش"/>
    <d v="2024-09-04T00:00:00"/>
    <d v="2024-09-15T00:00:00"/>
    <d v="2024-09-17T00:00:00"/>
    <x v="0"/>
    <x v="3"/>
    <x v="0"/>
  </r>
  <r>
    <s v="احمد "/>
    <x v="0"/>
    <s v="القاهره الجديده"/>
    <x v="5"/>
    <x v="0"/>
    <x v="0"/>
    <x v="4"/>
    <s v="فورجينا"/>
    <x v="0"/>
    <n v="80"/>
    <x v="11"/>
    <s v="سرير"/>
    <n v="4"/>
    <s v="فردي"/>
    <n v="7987"/>
    <n v="31948"/>
    <n v="31948"/>
    <s v="مسبق الدفع"/>
    <d v="2024-09-06T00:00:00"/>
    <d v="2024-09-16T00:00:00"/>
    <d v="2024-09-21T00:00:00"/>
    <x v="0"/>
    <x v="3"/>
    <x v="0"/>
  </r>
  <r>
    <s v="احمد "/>
    <x v="0"/>
    <s v="القاهره الجديده"/>
    <x v="5"/>
    <x v="0"/>
    <x v="0"/>
    <x v="4"/>
    <s v="فورجينا"/>
    <x v="0"/>
    <n v="80"/>
    <x v="11"/>
    <s v="سرير"/>
    <n v="4"/>
    <s v="فردي"/>
    <n v="7987"/>
    <n v="31948"/>
    <n v="31948"/>
    <s v="مسبق الدفع "/>
    <d v="2024-09-06T00:00:00"/>
    <d v="2024-09-16T00:00:00"/>
    <d v="2024-09-21T00:00:00"/>
    <x v="0"/>
    <x v="3"/>
    <x v="0"/>
  </r>
  <r>
    <s v="احمد "/>
    <x v="0"/>
    <s v="القاهره الجديده"/>
    <x v="5"/>
    <x v="0"/>
    <x v="0"/>
    <x v="4"/>
    <s v="فورجينا"/>
    <x v="0"/>
    <n v="80"/>
    <x v="11"/>
    <s v="سرير"/>
    <n v="4"/>
    <s v="فردي"/>
    <n v="7987"/>
    <n v="31948"/>
    <n v="31948"/>
    <s v="مسبق الدفع "/>
    <d v="2024-09-06T00:00:00"/>
    <d v="2024-09-16T00:00:00"/>
    <d v="2024-09-21T00:00:00"/>
    <x v="0"/>
    <x v="3"/>
    <x v="0"/>
  </r>
  <r>
    <s v="صفاء"/>
    <x v="0"/>
    <s v="المعادى"/>
    <x v="5"/>
    <x v="0"/>
    <x v="1"/>
    <x v="7"/>
    <m/>
    <x v="3"/>
    <m/>
    <x v="12"/>
    <s v="ترابيزة"/>
    <n v="1"/>
    <s v="علوية"/>
    <n v="8849"/>
    <n v="8849"/>
    <n v="0"/>
    <s v="مسبق الدفع"/>
    <d v="2024-09-03T00:00:00"/>
    <d v="2024-10-16T00:00:00"/>
    <m/>
    <x v="1"/>
    <x v="1"/>
    <x v="1"/>
  </r>
  <r>
    <s v="حسن حازم"/>
    <x v="0"/>
    <s v="٦ اكتوبر الجيزه "/>
    <x v="0"/>
    <x v="0"/>
    <x v="0"/>
    <x v="4"/>
    <s v="اسبانى"/>
    <x v="0"/>
    <n v="120"/>
    <x v="16"/>
    <s v="سرير"/>
    <n v="1"/>
    <s v="إسباني"/>
    <n v="10987"/>
    <n v="10987"/>
    <n v="10987"/>
    <s v="مسبق الدفع "/>
    <d v="2024-09-09T00:00:00"/>
    <d v="2024-09-17T00:00:00"/>
    <d v="2024-09-21T00:00:00"/>
    <x v="0"/>
    <x v="3"/>
    <x v="0"/>
  </r>
  <r>
    <s v="شيك هومز "/>
    <x v="1"/>
    <m/>
    <x v="4"/>
    <x v="1"/>
    <x v="0"/>
    <x v="1"/>
    <s v="كينج"/>
    <x v="0"/>
    <n v="100"/>
    <x v="17"/>
    <s v="سرير"/>
    <n v="1"/>
    <s v="كينج"/>
    <n v="9208"/>
    <n v="9208"/>
    <n v="9208"/>
    <s v="كاش"/>
    <d v="2024-09-01T00:00:00"/>
    <d v="2024-09-19T00:00:00"/>
    <d v="2024-09-21T00:00:00"/>
    <x v="0"/>
    <x v="3"/>
    <x v="0"/>
  </r>
  <r>
    <s v="شيك هومز "/>
    <x v="1"/>
    <m/>
    <x v="4"/>
    <x v="1"/>
    <x v="0"/>
    <x v="1"/>
    <s v="كينج"/>
    <x v="1"/>
    <n v="100"/>
    <x v="18"/>
    <s v="سرير"/>
    <n v="1"/>
    <s v="كينج"/>
    <n v="9208"/>
    <n v="9208"/>
    <n v="9208"/>
    <s v="كاش"/>
    <d v="2024-09-01T00:00:00"/>
    <d v="2024-09-19T00:00:00"/>
    <d v="2024-09-21T00:00:00"/>
    <x v="0"/>
    <x v="3"/>
    <x v="0"/>
  </r>
  <r>
    <s v="اوسكار راتن"/>
    <x v="1"/>
    <s v="مخزن اوسكار في القناطر "/>
    <x v="0"/>
    <x v="4"/>
    <x v="0"/>
    <x v="4"/>
    <s v="فورجينا"/>
    <x v="0"/>
    <n v="120"/>
    <x v="19"/>
    <s v="سرير"/>
    <n v="2"/>
    <s v="فورجينا"/>
    <n v="4020"/>
    <n v="8040"/>
    <n v="8040"/>
    <s v="حساب شركه"/>
    <d v="2024-09-12T00:00:00"/>
    <d v="2024-09-21T00:00:00"/>
    <d v="2024-09-22T00:00:00"/>
    <x v="0"/>
    <x v="3"/>
    <x v="0"/>
  </r>
  <r>
    <s v="اوسكار راتن"/>
    <x v="1"/>
    <s v="مخزن اوسكار في القناطر "/>
    <x v="0"/>
    <x v="4"/>
    <x v="0"/>
    <x v="4"/>
    <s v="فورجينا"/>
    <x v="0"/>
    <n v="120"/>
    <x v="19"/>
    <s v="سرير"/>
    <n v="2"/>
    <s v="فورجينا"/>
    <n v="4020"/>
    <n v="8040"/>
    <n v="8040"/>
    <s v="حساب شركه"/>
    <d v="2024-09-12T00:00:00"/>
    <d v="2024-09-21T00:00:00"/>
    <d v="2024-09-22T00:00:00"/>
    <x v="0"/>
    <x v="3"/>
    <x v="0"/>
  </r>
  <r>
    <s v="اوسكار راتن"/>
    <x v="1"/>
    <s v="مخزن اوسكار في القناطر "/>
    <x v="0"/>
    <x v="4"/>
    <x v="0"/>
    <x v="4"/>
    <s v="ارفيل"/>
    <x v="1"/>
    <n v="120"/>
    <x v="20"/>
    <s v="سرير"/>
    <n v="2"/>
    <s v="أرفيل"/>
    <n v="4020"/>
    <n v="8040"/>
    <n v="8040"/>
    <s v="مسبق الدفع "/>
    <d v="2024-09-12T00:00:00"/>
    <d v="2024-09-21T00:00:00"/>
    <d v="2024-09-22T00:00:00"/>
    <x v="0"/>
    <x v="3"/>
    <x v="0"/>
  </r>
  <r>
    <s v="اوسكار راتن"/>
    <x v="1"/>
    <s v="مخزن اوسكار في القناطر "/>
    <x v="0"/>
    <x v="4"/>
    <x v="0"/>
    <x v="4"/>
    <s v="ارفيل"/>
    <x v="1"/>
    <n v="120"/>
    <x v="20"/>
    <s v="سرير"/>
    <n v="2"/>
    <s v="أرفيل"/>
    <n v="4020"/>
    <n v="8040"/>
    <n v="8040"/>
    <s v="مسبق الدفع "/>
    <d v="2024-09-12T00:00:00"/>
    <d v="2024-09-21T00:00:00"/>
    <d v="2024-09-22T00:00:00"/>
    <x v="0"/>
    <x v="3"/>
    <x v="0"/>
  </r>
  <r>
    <s v="صفاء الحكيم"/>
    <x v="0"/>
    <s v="العين السخنه"/>
    <x v="6"/>
    <x v="0"/>
    <x v="0"/>
    <x v="0"/>
    <m/>
    <x v="1"/>
    <m/>
    <x v="1"/>
    <s v="سرير"/>
    <n v="1"/>
    <s v="منطبق"/>
    <n v="9399"/>
    <n v="9399"/>
    <n v="0"/>
    <s v="مسبق الدفع "/>
    <d v="2024-09-14T00:00:00"/>
    <d v="2024-09-22T00:00:00"/>
    <m/>
    <x v="1"/>
    <x v="1"/>
    <x v="1"/>
  </r>
  <r>
    <s v="يوسف شناوى"/>
    <x v="0"/>
    <s v="الابراهيميه . الإسكندرية "/>
    <x v="1"/>
    <x v="0"/>
    <x v="1"/>
    <x v="9"/>
    <m/>
    <x v="3"/>
    <m/>
    <x v="21"/>
    <s v="ترابيزة"/>
    <n v="1"/>
    <s v="علوية"/>
    <n v="8349"/>
    <n v="8349"/>
    <n v="8349"/>
    <s v="مسبق الدفع "/>
    <d v="2024-09-14T00:00:00"/>
    <d v="2024-09-22T00:00:00"/>
    <d v="2024-09-24T00:00:00"/>
    <x v="0"/>
    <x v="0"/>
    <x v="0"/>
  </r>
  <r>
    <s v="حاتم العيسوي "/>
    <x v="0"/>
    <s v="٦ اكتوبر الجيزه "/>
    <x v="0"/>
    <x v="0"/>
    <x v="0"/>
    <x v="0"/>
    <m/>
    <x v="1"/>
    <m/>
    <x v="22"/>
    <s v="سرير"/>
    <n v="1"/>
    <s v="منطبق"/>
    <n v="9399"/>
    <n v="9399"/>
    <n v="9399"/>
    <s v="مسبق الدفع "/>
    <d v="2024-09-13T00:00:00"/>
    <d v="2024-09-24T00:00:00"/>
    <d v="2024-09-29T00:00:00"/>
    <x v="0"/>
    <x v="0"/>
    <x v="0"/>
  </r>
  <r>
    <s v="رنا "/>
    <x v="0"/>
    <s v="القطاميه "/>
    <x v="5"/>
    <x v="0"/>
    <x v="1"/>
    <x v="7"/>
    <m/>
    <x v="3"/>
    <m/>
    <x v="12"/>
    <s v="ترابيزة"/>
    <n v="1"/>
    <s v="علوية"/>
    <n v="7849"/>
    <n v="7849"/>
    <n v="7849"/>
    <s v="كاش"/>
    <d v="2024-09-12T00:00:00"/>
    <d v="2024-09-26T00:00:00"/>
    <m/>
    <x v="2"/>
    <x v="0"/>
    <x v="0"/>
  </r>
  <r>
    <s v="عبير نور الدين"/>
    <x v="0"/>
    <s v="١٨ شارع البحيري بولاق الدكرور الجيزه "/>
    <x v="0"/>
    <x v="2"/>
    <x v="0"/>
    <x v="10"/>
    <s v="كينج"/>
    <x v="1"/>
    <n v="100"/>
    <x v="23"/>
    <s v="سرير"/>
    <n v="1"/>
    <s v="عادي"/>
    <n v="9450"/>
    <n v="9450"/>
    <n v="0"/>
    <s v="كاش"/>
    <d v="2024-09-12T00:00:00"/>
    <d v="2024-09-26T00:00:00"/>
    <m/>
    <x v="1"/>
    <x v="1"/>
    <x v="1"/>
  </r>
  <r>
    <s v="اسراء ابو العنين "/>
    <x v="0"/>
    <s v="القاهره الجديده"/>
    <x v="5"/>
    <x v="0"/>
    <x v="0"/>
    <x v="4"/>
    <s v="اسبانى"/>
    <x v="1"/>
    <n v="120"/>
    <x v="24"/>
    <s v="سرير"/>
    <n v="1"/>
    <s v="إسباني"/>
    <n v="7460"/>
    <n v="7460"/>
    <n v="7460"/>
    <s v="مسبق الدفع "/>
    <d v="2024-09-13T00:00:00"/>
    <d v="2024-09-26T00:00:00"/>
    <d v="2024-10-03T00:00:00"/>
    <x v="0"/>
    <x v="3"/>
    <x v="0"/>
  </r>
  <r>
    <s v="وائل صادق"/>
    <x v="0"/>
    <s v="القاهره الجديده"/>
    <x v="5"/>
    <x v="0"/>
    <x v="0"/>
    <x v="4"/>
    <s v="كوين "/>
    <x v="5"/>
    <n v="140"/>
    <x v="25"/>
    <s v="سرير"/>
    <n v="1"/>
    <s v="كوين"/>
    <n v="9528"/>
    <n v="9528"/>
    <n v="9528"/>
    <s v="مسبق الدفع "/>
    <d v="2024-09-13T00:00:00"/>
    <d v="2024-09-26T00:00:00"/>
    <d v="2024-10-03T00:00:00"/>
    <x v="0"/>
    <x v="3"/>
    <x v="0"/>
  </r>
  <r>
    <s v="حسن مغرب "/>
    <x v="0"/>
    <s v="٦ اكتوبر الجيزه "/>
    <x v="0"/>
    <x v="0"/>
    <x v="0"/>
    <x v="1"/>
    <s v="كينج"/>
    <x v="4"/>
    <n v="120"/>
    <x v="26"/>
    <s v="سرير"/>
    <n v="1"/>
    <s v="كيفنج"/>
    <n v="12999"/>
    <n v="12999"/>
    <n v="12999"/>
    <s v="مسبق الدفع "/>
    <d v="2024-09-14T00:00:00"/>
    <d v="2024-09-27T00:00:00"/>
    <d v="2024-10-02T00:00:00"/>
    <x v="0"/>
    <x v="3"/>
    <x v="0"/>
  </r>
  <r>
    <s v="على السيد "/>
    <x v="0"/>
    <s v="الشروق القاهره "/>
    <x v="5"/>
    <x v="0"/>
    <x v="0"/>
    <x v="1"/>
    <s v="نوفال"/>
    <x v="1"/>
    <n v="90"/>
    <x v="27"/>
    <s v="سرير"/>
    <n v="1"/>
    <s v="نوفال"/>
    <n v="5999"/>
    <n v="5999"/>
    <n v="0"/>
    <s v="مسبق الدفع "/>
    <d v="2024-09-12T00:00:00"/>
    <d v="2024-09-29T00:00:00"/>
    <m/>
    <x v="1"/>
    <x v="1"/>
    <x v="1"/>
  </r>
  <r>
    <s v="هشام بسيونى "/>
    <x v="0"/>
    <s v="حدايق الاهرام "/>
    <x v="0"/>
    <x v="0"/>
    <x v="0"/>
    <x v="1"/>
    <s v="كينج"/>
    <x v="1"/>
    <n v="100"/>
    <x v="28"/>
    <s v="سرير"/>
    <n v="2"/>
    <s v="كيفنج"/>
    <n v="11949"/>
    <n v="23898"/>
    <n v="23898"/>
    <s v="كاش"/>
    <d v="2024-09-12T00:00:00"/>
    <d v="2024-09-29T00:00:00"/>
    <d v="2024-10-02T00:00:00"/>
    <x v="0"/>
    <x v="3"/>
    <x v="0"/>
  </r>
  <r>
    <s v="هشام بسيونى "/>
    <x v="0"/>
    <s v="حدايق الاهرام "/>
    <x v="0"/>
    <x v="0"/>
    <x v="0"/>
    <x v="1"/>
    <s v="كينج"/>
    <x v="1"/>
    <n v="100"/>
    <x v="28"/>
    <s v="سرير"/>
    <n v="2"/>
    <s v="كيفنج"/>
    <n v="11949"/>
    <n v="23898"/>
    <n v="23898"/>
    <s v="كاش"/>
    <d v="2024-09-12T00:00:00"/>
    <d v="2024-09-29T00:00:00"/>
    <d v="2024-10-02T00:00:00"/>
    <x v="0"/>
    <x v="3"/>
    <x v="0"/>
  </r>
  <r>
    <s v="احمد "/>
    <x v="0"/>
    <s v="الشروق"/>
    <x v="5"/>
    <x v="0"/>
    <x v="0"/>
    <x v="10"/>
    <s v="كينج"/>
    <x v="0"/>
    <n v="80"/>
    <x v="29"/>
    <s v="سرير"/>
    <n v="1"/>
    <s v="عادي"/>
    <n v="16599"/>
    <n v="16599"/>
    <n v="16599"/>
    <s v="مسبق الدفع "/>
    <d v="2024-09-13T00:00:00"/>
    <d v="2024-09-30T00:00:00"/>
    <d v="2024-10-03T00:00:00"/>
    <x v="0"/>
    <x v="3"/>
    <x v="0"/>
  </r>
  <r>
    <s v="ساره وجيه "/>
    <x v="0"/>
    <s v="الغردقه "/>
    <x v="3"/>
    <x v="0"/>
    <x v="0"/>
    <x v="1"/>
    <s v="كينج"/>
    <x v="0"/>
    <n v="80"/>
    <x v="30"/>
    <s v="سرير"/>
    <n v="1"/>
    <s v="كيفنج"/>
    <n v="10999"/>
    <n v="10999"/>
    <n v="10999"/>
    <s v="مسبق الدفع "/>
    <d v="2024-09-13T00:00:00"/>
    <d v="2024-09-30T00:00:00"/>
    <d v="2024-10-16T00:00:00"/>
    <x v="0"/>
    <x v="0"/>
    <x v="0"/>
  </r>
  <r>
    <s v="مها "/>
    <x v="0"/>
    <s v="لافيستا العين السخنه "/>
    <x v="6"/>
    <x v="0"/>
    <x v="0"/>
    <x v="1"/>
    <s v="كينج"/>
    <x v="2"/>
    <n v="140"/>
    <x v="31"/>
    <s v="سرير"/>
    <n v="1"/>
    <s v="استيل"/>
    <n v="13099"/>
    <n v="13099"/>
    <n v="13099"/>
    <s v="مسبق الدفع "/>
    <d v="2024-09-13T00:00:00"/>
    <d v="2024-09-30T00:00:00"/>
    <d v="2024-10-03T00:00:00"/>
    <x v="0"/>
    <x v="0"/>
    <x v="0"/>
  </r>
  <r>
    <s v="بسام الشربينى "/>
    <x v="0"/>
    <s v="٦ اكتوبر الجيزه "/>
    <x v="0"/>
    <x v="0"/>
    <x v="0"/>
    <x v="1"/>
    <s v="كينج"/>
    <x v="6"/>
    <n v="120"/>
    <x v="32"/>
    <s v="سرير"/>
    <n v="1"/>
    <s v="كينج"/>
    <n v="13849"/>
    <n v="13849"/>
    <n v="13849"/>
    <s v="مسبق الدفع "/>
    <d v="2024-09-13T00:00:00"/>
    <d v="2024-09-30T00:00:00"/>
    <d v="2024-10-20T00:00:00"/>
    <x v="0"/>
    <x v="3"/>
    <x v="0"/>
  </r>
  <r>
    <s v="هبه عبد الفتاح "/>
    <x v="0"/>
    <s v="القاهره الجديده "/>
    <x v="5"/>
    <x v="0"/>
    <x v="2"/>
    <x v="3"/>
    <s v="ارينا"/>
    <x v="1"/>
    <m/>
    <x v="33"/>
    <s v="كنبة"/>
    <n v="1"/>
    <s v="كنبة سرير"/>
    <n v="21999"/>
    <n v="21999"/>
    <n v="21999"/>
    <s v="مسبق الدفع"/>
    <d v="2024-09-13T00:00:00"/>
    <d v="2024-09-30T00:00:00"/>
    <m/>
    <x v="2"/>
    <x v="3"/>
    <x v="0"/>
  </r>
  <r>
    <s v="اسراء ابراهيم "/>
    <x v="0"/>
    <s v="٦ اكتوبر الجيزه "/>
    <x v="0"/>
    <x v="0"/>
    <x v="0"/>
    <x v="1"/>
    <s v="كينج"/>
    <x v="0"/>
    <n v="80"/>
    <x v="30"/>
    <s v="سرير"/>
    <n v="1"/>
    <s v="كيفنج"/>
    <n v="10999"/>
    <n v="10999"/>
    <n v="10999"/>
    <s v="مسبق الدفع "/>
    <d v="2024-09-13T00:00:00"/>
    <d v="2024-09-30T00:00:00"/>
    <d v="2024-10-15T00:00:00"/>
    <x v="0"/>
    <x v="3"/>
    <x v="0"/>
  </r>
  <r>
    <s v="طارق كمال "/>
    <x v="0"/>
    <s v="المعادى"/>
    <x v="5"/>
    <x v="0"/>
    <x v="0"/>
    <x v="10"/>
    <s v="كينج"/>
    <x v="1"/>
    <n v="90"/>
    <x v="34"/>
    <s v="سرير"/>
    <n v="1"/>
    <s v="عادي"/>
    <n v="17249"/>
    <n v="17249"/>
    <n v="17249"/>
    <s v="مسبق الدفع "/>
    <d v="2024-09-13T00:00:00"/>
    <d v="2024-09-30T00:00:00"/>
    <d v="2024-10-04T00:00:00"/>
    <x v="0"/>
    <x v="3"/>
    <x v="0"/>
  </r>
  <r>
    <s v="ديفد بهجت "/>
    <x v="0"/>
    <s v="فيصل الجيزه"/>
    <x v="0"/>
    <x v="0"/>
    <x v="1"/>
    <x v="7"/>
    <m/>
    <x v="3"/>
    <m/>
    <x v="35"/>
    <s v="ترابيزة"/>
    <n v="1"/>
    <s v="2 رافع"/>
    <n v="8349"/>
    <n v="8349"/>
    <n v="8349"/>
    <s v="مسبق الدفع"/>
    <d v="2024-09-14T00:00:00"/>
    <d v="2024-10-16T00:00:00"/>
    <d v="2024-10-21T00:00:00"/>
    <x v="0"/>
    <x v="3"/>
    <x v="0"/>
  </r>
  <r>
    <s v="اياد "/>
    <x v="0"/>
    <s v="المقطم "/>
    <x v="5"/>
    <x v="0"/>
    <x v="1"/>
    <x v="11"/>
    <m/>
    <x v="3"/>
    <m/>
    <x v="3"/>
    <s v="ترابيزة"/>
    <n v="1"/>
    <s v="متحركة"/>
    <n v="7849"/>
    <n v="7849"/>
    <n v="7849"/>
    <s v="مسبق الدفع"/>
    <d v="2024-09-14T00:00:00"/>
    <d v="2024-10-29T00:00:00"/>
    <d v="2024-10-30T00:00:00"/>
    <x v="0"/>
    <x v="3"/>
    <x v="0"/>
  </r>
  <r>
    <s v="ميار خورشد"/>
    <x v="0"/>
    <s v="٦ اكتوبر الجيزه "/>
    <x v="0"/>
    <x v="0"/>
    <x v="0"/>
    <x v="0"/>
    <m/>
    <x v="1"/>
    <m/>
    <x v="36"/>
    <s v="سرير"/>
    <n v="1"/>
    <s v="منطبق"/>
    <n v="9399"/>
    <n v="9399"/>
    <n v="9399"/>
    <s v="مسبق الدفع "/>
    <d v="2024-09-14T00:00:00"/>
    <d v="2024-10-29T00:00:00"/>
    <d v="2024-10-15T00:00:00"/>
    <x v="2"/>
    <x v="3"/>
    <x v="0"/>
  </r>
  <r>
    <s v="عبد الله سيد "/>
    <x v="0"/>
    <s v="الشيخ زايد ٦ اكتوبر "/>
    <x v="0"/>
    <x v="0"/>
    <x v="0"/>
    <x v="4"/>
    <s v="اسبانى"/>
    <x v="1"/>
    <n v="140"/>
    <x v="37"/>
    <s v="سرير"/>
    <n v="1"/>
    <s v="إسباني"/>
    <n v="11817"/>
    <n v="11817"/>
    <n v="11817"/>
    <s v="مسبق الدفع "/>
    <d v="2024-09-14T00:00:00"/>
    <d v="2024-10-29T00:00:00"/>
    <d v="2024-10-15T00:00:00"/>
    <x v="2"/>
    <x v="3"/>
    <x v="0"/>
  </r>
  <r>
    <s v="كينج سونا "/>
    <x v="0"/>
    <s v="الشروق"/>
    <x v="5"/>
    <x v="0"/>
    <x v="1"/>
    <x v="9"/>
    <m/>
    <x v="3"/>
    <m/>
    <x v="38"/>
    <s v="ترابيزة"/>
    <n v="1"/>
    <s v="مرتفعة"/>
    <n v="8349"/>
    <n v="8349"/>
    <n v="8349"/>
    <s v="مسبق الدفع "/>
    <d v="2024-09-14T00:00:00"/>
    <d v="2024-10-29T00:00:00"/>
    <d v="2024-10-19T00:00:00"/>
    <x v="2"/>
    <x v="3"/>
    <x v="0"/>
  </r>
  <r>
    <s v="احمد خالد "/>
    <x v="0"/>
    <s v="الرحاب"/>
    <x v="5"/>
    <x v="0"/>
    <x v="0"/>
    <x v="4"/>
    <s v="فورجينا"/>
    <x v="0"/>
    <n v="120"/>
    <x v="39"/>
    <s v="سرير"/>
    <n v="2"/>
    <s v="فورجينا"/>
    <n v="17886"/>
    <n v="35772"/>
    <n v="0"/>
    <s v="مسبق الدفع "/>
    <d v="2024-09-14T00:00:00"/>
    <d v="2024-10-29T00:00:00"/>
    <m/>
    <x v="1"/>
    <x v="1"/>
    <x v="1"/>
  </r>
  <r>
    <s v="احمد خالد "/>
    <x v="0"/>
    <s v="الرحاب"/>
    <x v="5"/>
    <x v="0"/>
    <x v="0"/>
    <x v="4"/>
    <s v="فورجينا"/>
    <x v="0"/>
    <n v="120"/>
    <x v="39"/>
    <s v="سرير"/>
    <n v="2"/>
    <s v="فورجينا"/>
    <n v="17886"/>
    <n v="35772"/>
    <n v="0"/>
    <s v="مسبق الدفع "/>
    <d v="2024-09-14T00:00:00"/>
    <d v="2024-10-29T00:00:00"/>
    <m/>
    <x v="1"/>
    <x v="1"/>
    <x v="1"/>
  </r>
  <r>
    <s v="ساره"/>
    <x v="0"/>
    <s v="القاهره الجديده"/>
    <x v="5"/>
    <x v="0"/>
    <x v="0"/>
    <x v="4"/>
    <s v="اسبانى"/>
    <x v="0"/>
    <n v="120"/>
    <x v="16"/>
    <s v="سرير"/>
    <n v="2"/>
    <s v="إسباني"/>
    <n v="10987"/>
    <n v="21974"/>
    <n v="21974"/>
    <s v="مسبق الدفع "/>
    <d v="2024-09-14T00:00:00"/>
    <d v="2024-10-29T00:00:00"/>
    <d v="2024-10-13T00:00:00"/>
    <x v="2"/>
    <x v="3"/>
    <x v="0"/>
  </r>
  <r>
    <s v="ساره"/>
    <x v="0"/>
    <s v="القاهره الجديده"/>
    <x v="5"/>
    <x v="0"/>
    <x v="0"/>
    <x v="4"/>
    <s v="اسبانى"/>
    <x v="0"/>
    <n v="120"/>
    <x v="16"/>
    <s v="سرير"/>
    <n v="2"/>
    <s v="إسباني"/>
    <n v="10987"/>
    <n v="21974"/>
    <n v="21974"/>
    <s v="مسبق الدفع "/>
    <d v="2024-09-14T00:00:00"/>
    <d v="2024-10-29T00:00:00"/>
    <d v="2024-10-13T00:00:00"/>
    <x v="2"/>
    <x v="3"/>
    <x v="0"/>
  </r>
  <r>
    <s v="احمد ايمن "/>
    <x v="0"/>
    <s v="العبور"/>
    <x v="5"/>
    <x v="0"/>
    <x v="1"/>
    <x v="7"/>
    <m/>
    <x v="3"/>
    <m/>
    <x v="12"/>
    <s v="ترابيزة"/>
    <n v="1"/>
    <s v="علوية"/>
    <n v="10319"/>
    <n v="10319"/>
    <n v="10319"/>
    <s v="مسبق الدفع"/>
    <d v="2024-09-14T00:00:00"/>
    <d v="2024-10-29T00:00:00"/>
    <d v="2024-10-19T00:00:00"/>
    <x v="2"/>
    <x v="3"/>
    <x v="0"/>
  </r>
  <r>
    <s v="مصطفي غنيم "/>
    <x v="0"/>
    <s v="اسيوط "/>
    <x v="7"/>
    <x v="0"/>
    <x v="0"/>
    <x v="1"/>
    <s v="كينج"/>
    <x v="4"/>
    <n v="120"/>
    <x v="40"/>
    <s v="سرير"/>
    <n v="1"/>
    <s v="كيفنج"/>
    <n v="12999"/>
    <n v="12999"/>
    <n v="12999"/>
    <s v="مسبق الدفع "/>
    <d v="2024-09-14T00:00:00"/>
    <d v="2024-11-20T00:00:00"/>
    <d v="2024-10-17T00:00:00"/>
    <x v="2"/>
    <x v="0"/>
    <x v="0"/>
  </r>
  <r>
    <s v="حسام عبدون"/>
    <x v="0"/>
    <s v="الغردقه"/>
    <x v="3"/>
    <x v="0"/>
    <x v="2"/>
    <x v="3"/>
    <s v="ارينا"/>
    <x v="1"/>
    <m/>
    <x v="33"/>
    <s v="كنبة"/>
    <n v="1"/>
    <s v="كنبة سرير"/>
    <n v="21999"/>
    <n v="21999"/>
    <n v="0"/>
    <s v="مسبق الدفع"/>
    <d v="2024-09-14T00:00:00"/>
    <d v="2024-11-20T00:00:00"/>
    <m/>
    <x v="1"/>
    <x v="1"/>
    <x v="1"/>
  </r>
  <r>
    <s v="رامى "/>
    <x v="0"/>
    <s v="الشروق"/>
    <x v="5"/>
    <x v="0"/>
    <x v="0"/>
    <x v="1"/>
    <s v="نوفال"/>
    <x v="4"/>
    <n v="100"/>
    <x v="41"/>
    <s v="سرير"/>
    <n v="1"/>
    <s v="نوفال"/>
    <n v="12399"/>
    <n v="12399"/>
    <n v="12399"/>
    <s v="مسبق الدفع "/>
    <d v="2024-09-14T00:00:00"/>
    <d v="2024-11-20T00:00:00"/>
    <d v="2024-10-01T00:00:00"/>
    <x v="2"/>
    <x v="0"/>
    <x v="0"/>
  </r>
  <r>
    <s v="رحاب"/>
    <x v="0"/>
    <s v="القاهره الجديده"/>
    <x v="5"/>
    <x v="0"/>
    <x v="2"/>
    <x v="3"/>
    <s v="ارينا"/>
    <x v="1"/>
    <m/>
    <x v="33"/>
    <s v="كنبة"/>
    <n v="1"/>
    <s v="كنبة سرير"/>
    <n v="21999"/>
    <n v="21999"/>
    <n v="21999"/>
    <s v="مسبق الدفع"/>
    <d v="2024-09-14T00:00:00"/>
    <d v="2024-11-20T00:00:00"/>
    <d v="2024-10-09T00:00:00"/>
    <x v="2"/>
    <x v="3"/>
    <x v="0"/>
  </r>
  <r>
    <s v="فؤاد المنسي "/>
    <x v="0"/>
    <s v="المقطم "/>
    <x v="5"/>
    <x v="0"/>
    <x v="0"/>
    <x v="1"/>
    <s v="نوفال"/>
    <x v="0"/>
    <n v="80"/>
    <x v="42"/>
    <s v="سرير"/>
    <n v="1"/>
    <s v="نوفال"/>
    <n v="10999"/>
    <n v="10999"/>
    <n v="10999"/>
    <s v="مسبق الدفع "/>
    <d v="2024-09-14T00:00:00"/>
    <d v="2024-11-20T00:00:00"/>
    <d v="2024-10-16T00:00:00"/>
    <x v="2"/>
    <x v="3"/>
    <x v="0"/>
  </r>
  <r>
    <s v="mohannad"/>
    <x v="0"/>
    <s v="EL-Maadi"/>
    <x v="5"/>
    <x v="0"/>
    <x v="0"/>
    <x v="1"/>
    <s v="كينج"/>
    <x v="0"/>
    <n v="80"/>
    <x v="43"/>
    <m/>
    <n v="1"/>
    <m/>
    <n v="10999"/>
    <n v="10999"/>
    <n v="10999"/>
    <s v="مسبق الدفع "/>
    <d v="2024-09-15T00:00:00"/>
    <d v="2024-11-20T00:00:00"/>
    <d v="2024-10-16T00:00:00"/>
    <x v="2"/>
    <x v="3"/>
    <x v="0"/>
  </r>
  <r>
    <s v="mohannad"/>
    <x v="0"/>
    <s v="EL-Maadi"/>
    <x v="5"/>
    <x v="0"/>
    <x v="0"/>
    <x v="1"/>
    <s v="كينج"/>
    <x v="0"/>
    <n v="80"/>
    <x v="43"/>
    <m/>
    <n v="1"/>
    <m/>
    <n v="10999"/>
    <n v="10999"/>
    <n v="10999"/>
    <s v="مسبق الدفع "/>
    <d v="2024-09-15T00:00:00"/>
    <d v="2024-11-20T00:00:00"/>
    <d v="2024-10-16T00:00:00"/>
    <x v="2"/>
    <x v="3"/>
    <x v="0"/>
  </r>
  <r>
    <s v="Mohamed Ayman"/>
    <x v="0"/>
    <s v="Madinet Badr"/>
    <x v="5"/>
    <x v="0"/>
    <x v="2"/>
    <x v="3"/>
    <s v="ارينا"/>
    <x v="1"/>
    <m/>
    <x v="43"/>
    <m/>
    <n v="1"/>
    <m/>
    <n v="21999"/>
    <n v="21999"/>
    <n v="21999"/>
    <s v="مسبق الدفع "/>
    <d v="2024-09-15T00:00:00"/>
    <d v="2024-11-20T00:00:00"/>
    <d v="2024-10-19T00:00:00"/>
    <x v="2"/>
    <x v="3"/>
    <x v="0"/>
  </r>
  <r>
    <s v="اسامه"/>
    <x v="0"/>
    <s v="العين السخنه"/>
    <x v="6"/>
    <x v="0"/>
    <x v="1"/>
    <x v="7"/>
    <m/>
    <x v="3"/>
    <m/>
    <x v="43"/>
    <m/>
    <n v="1"/>
    <m/>
    <n v="7849"/>
    <n v="7849"/>
    <n v="7849"/>
    <s v="كاش"/>
    <d v="2024-09-16T00:00:00"/>
    <d v="2024-10-30T00:00:00"/>
    <d v="2024-11-14T00:00:00"/>
    <x v="0"/>
    <x v="0"/>
    <x v="0"/>
  </r>
  <r>
    <s v="اوسكار راتن"/>
    <x v="1"/>
    <s v="المخزن ابو الغيط "/>
    <x v="0"/>
    <x v="4"/>
    <x v="0"/>
    <x v="1"/>
    <s v="كينج"/>
    <x v="0"/>
    <n v="80"/>
    <x v="43"/>
    <m/>
    <n v="1"/>
    <m/>
    <n v="5074"/>
    <n v="5074"/>
    <n v="5074"/>
    <s v="حساب شركه"/>
    <d v="2024-09-21T00:00:00"/>
    <d v="2024-10-05T00:00:00"/>
    <d v="2024-10-12T00:00:00"/>
    <x v="0"/>
    <x v="3"/>
    <x v="0"/>
  </r>
  <r>
    <s v="تاكى "/>
    <x v="1"/>
    <s v="العباسيه"/>
    <x v="5"/>
    <x v="3"/>
    <x v="0"/>
    <x v="1"/>
    <s v="كينج"/>
    <x v="7"/>
    <n v="100"/>
    <x v="43"/>
    <m/>
    <n v="1"/>
    <m/>
    <n v="6250"/>
    <n v="6250"/>
    <n v="6250"/>
    <s v="حساب شركه"/>
    <d v="2024-09-23T00:00:00"/>
    <d v="2024-10-08T00:00:00"/>
    <d v="2024-10-17T00:00:00"/>
    <x v="0"/>
    <x v="3"/>
    <x v="0"/>
  </r>
  <r>
    <s v="تاكى "/>
    <x v="1"/>
    <s v="العباسيه"/>
    <x v="5"/>
    <x v="3"/>
    <x v="0"/>
    <x v="1"/>
    <s v="كينج"/>
    <x v="7"/>
    <n v="100"/>
    <x v="43"/>
    <m/>
    <n v="1"/>
    <m/>
    <n v="6250"/>
    <n v="6250"/>
    <n v="6250"/>
    <s v="حساب شركه"/>
    <d v="2024-09-23T00:00:00"/>
    <d v="2024-10-08T00:00:00"/>
    <d v="2024-10-17T00:00:00"/>
    <x v="0"/>
    <x v="3"/>
    <x v="0"/>
  </r>
  <r>
    <s v="ولاء بدوى"/>
    <x v="0"/>
    <s v="العباسيه"/>
    <x v="5"/>
    <x v="0"/>
    <x v="0"/>
    <x v="4"/>
    <s v="فورجينا"/>
    <x v="0"/>
    <n v="120"/>
    <x v="43"/>
    <m/>
    <n v="1"/>
    <m/>
    <n v="8943"/>
    <n v="8943"/>
    <n v="8943"/>
    <s v="كاش"/>
    <d v="2024-09-26T00:00:00"/>
    <d v="2024-11-10T00:00:00"/>
    <d v="2024-10-10T00:00:00"/>
    <x v="2"/>
    <x v="3"/>
    <x v="0"/>
  </r>
  <r>
    <s v="عبد الرحمن يسري"/>
    <x v="0"/>
    <s v="اكتوبر الجيزه"/>
    <x v="0"/>
    <x v="0"/>
    <x v="1"/>
    <x v="9"/>
    <m/>
    <x v="3"/>
    <m/>
    <x v="43"/>
    <m/>
    <m/>
    <m/>
    <n v="8349"/>
    <n v="8349"/>
    <n v="0"/>
    <s v="كاش"/>
    <d v="2024-09-26T00:00:00"/>
    <d v="2024-11-10T00:00:00"/>
    <m/>
    <x v="1"/>
    <x v="1"/>
    <x v="1"/>
  </r>
  <r>
    <s v="شيك هومز "/>
    <x v="1"/>
    <s v="التجمع"/>
    <x v="5"/>
    <x v="1"/>
    <x v="2"/>
    <x v="3"/>
    <s v="ارينا"/>
    <x v="1"/>
    <m/>
    <x v="43"/>
    <m/>
    <n v="1"/>
    <m/>
    <n v="14950"/>
    <n v="14950"/>
    <n v="14950"/>
    <s v="مسبق الدفع"/>
    <d v="2024-09-26T00:00:00"/>
    <d v="2024-10-14T00:00:00"/>
    <d v="2024-10-13T00:00:00"/>
    <x v="2"/>
    <x v="3"/>
    <x v="0"/>
  </r>
  <r>
    <s v="شيك هومز "/>
    <x v="1"/>
    <m/>
    <x v="4"/>
    <x v="1"/>
    <x v="0"/>
    <x v="1"/>
    <s v="كينج"/>
    <x v="1"/>
    <n v="100"/>
    <x v="43"/>
    <m/>
    <n v="1"/>
    <m/>
    <n v="9208"/>
    <n v="9208"/>
    <n v="0"/>
    <s v="كاش"/>
    <d v="2024-09-26T00:00:00"/>
    <d v="2024-10-14T00:00:00"/>
    <m/>
    <x v="1"/>
    <x v="1"/>
    <x v="1"/>
  </r>
  <r>
    <s v="شيك هومز "/>
    <x v="1"/>
    <m/>
    <x v="4"/>
    <x v="1"/>
    <x v="0"/>
    <x v="4"/>
    <s v="اسبانى"/>
    <x v="0"/>
    <n v="120"/>
    <x v="43"/>
    <m/>
    <n v="1"/>
    <m/>
    <n v="7433"/>
    <n v="7433"/>
    <n v="7433"/>
    <s v="مسبق الدفع "/>
    <d v="2024-09-29T00:00:00"/>
    <d v="2024-10-20T00:00:00"/>
    <d v="2024-10-21T00:00:00"/>
    <x v="0"/>
    <x v="3"/>
    <x v="0"/>
  </r>
  <r>
    <s v="اوسكار راتن"/>
    <x v="1"/>
    <s v="المخزن ابو الغيط "/>
    <x v="0"/>
    <x v="4"/>
    <x v="0"/>
    <x v="4"/>
    <s v="فورجينا"/>
    <x v="0"/>
    <n v="120"/>
    <x v="43"/>
    <m/>
    <n v="1"/>
    <m/>
    <n v="4020"/>
    <n v="4020"/>
    <n v="4020"/>
    <s v="حساب شركه"/>
    <d v="2024-09-29T00:00:00"/>
    <d v="2024-10-12T00:00:00"/>
    <d v="2024-10-12T00:00:00"/>
    <x v="2"/>
    <x v="3"/>
    <x v="0"/>
  </r>
  <r>
    <s v="الحج محمد السويس"/>
    <x v="0"/>
    <s v="السويس "/>
    <x v="6"/>
    <x v="5"/>
    <x v="0"/>
    <x v="1"/>
    <s v="فانتاستك"/>
    <x v="8"/>
    <n v="100"/>
    <x v="43"/>
    <m/>
    <n v="1"/>
    <m/>
    <n v="8544.9054400000005"/>
    <n v="8544.9054400000005"/>
    <n v="8544.9054400000005"/>
    <m/>
    <d v="2024-10-01T00:00:00"/>
    <d v="2024-10-09T00:00:00"/>
    <d v="2024-10-09T00:00:00"/>
    <x v="2"/>
    <x v="4"/>
    <x v="0"/>
  </r>
  <r>
    <s v="الحج محمد السويس"/>
    <x v="0"/>
    <s v="السويس "/>
    <x v="6"/>
    <x v="5"/>
    <x v="0"/>
    <x v="0"/>
    <m/>
    <x v="1"/>
    <m/>
    <x v="43"/>
    <m/>
    <n v="1"/>
    <m/>
    <n v="4600"/>
    <n v="4600"/>
    <n v="4600"/>
    <m/>
    <d v="2024-10-01T00:00:00"/>
    <d v="2024-10-09T00:00:00"/>
    <d v="2024-10-09T00:00:00"/>
    <x v="2"/>
    <x v="4"/>
    <x v="0"/>
  </r>
  <r>
    <s v="الحج محمد السويس"/>
    <x v="0"/>
    <s v="السويس "/>
    <x v="6"/>
    <x v="5"/>
    <x v="2"/>
    <x v="12"/>
    <m/>
    <x v="1"/>
    <m/>
    <x v="43"/>
    <m/>
    <n v="1"/>
    <m/>
    <n v="10000"/>
    <n v="10000"/>
    <n v="10000"/>
    <m/>
    <d v="2024-10-01T00:00:00"/>
    <d v="2024-10-09T00:00:00"/>
    <d v="2024-10-09T00:00:00"/>
    <x v="2"/>
    <x v="4"/>
    <x v="0"/>
  </r>
  <r>
    <s v="الحج محمد السويس"/>
    <x v="0"/>
    <s v="السويس "/>
    <x v="6"/>
    <x v="5"/>
    <x v="5"/>
    <x v="2"/>
    <m/>
    <x v="1"/>
    <m/>
    <x v="43"/>
    <m/>
    <m/>
    <m/>
    <m/>
    <n v="0"/>
    <n v="0"/>
    <m/>
    <d v="2024-10-01T00:00:00"/>
    <d v="2024-10-09T00:00:00"/>
    <d v="2024-10-09T00:00:00"/>
    <x v="2"/>
    <x v="4"/>
    <x v="0"/>
  </r>
  <r>
    <s v="عمرو الأسود"/>
    <x v="0"/>
    <s v="الزمالك"/>
    <x v="5"/>
    <x v="0"/>
    <x v="0"/>
    <x v="0"/>
    <m/>
    <x v="1"/>
    <m/>
    <x v="43"/>
    <m/>
    <m/>
    <m/>
    <n v="8899"/>
    <n v="8899"/>
    <n v="0"/>
    <s v="كاش"/>
    <d v="2024-10-03T00:00:00"/>
    <d v="2024-11-17T00:00:00"/>
    <m/>
    <x v="1"/>
    <x v="1"/>
    <x v="1"/>
  </r>
  <r>
    <s v="شيك هومز "/>
    <x v="1"/>
    <s v="مخزن شيك هومز"/>
    <x v="4"/>
    <x v="1"/>
    <x v="2"/>
    <x v="3"/>
    <s v="ارينا"/>
    <x v="1"/>
    <m/>
    <x v="43"/>
    <m/>
    <n v="1"/>
    <m/>
    <n v="14550"/>
    <n v="14550"/>
    <n v="14550"/>
    <s v="مسبق الدفع"/>
    <d v="2024-10-08T00:00:00"/>
    <d v="2024-10-29T00:00:00"/>
    <d v="2024-10-30T00:00:00"/>
    <x v="0"/>
    <x v="3"/>
    <x v="0"/>
  </r>
  <r>
    <s v="شيك هومز "/>
    <x v="1"/>
    <s v="أكتوبر "/>
    <x v="0"/>
    <x v="1"/>
    <x v="2"/>
    <x v="3"/>
    <s v="ارينا"/>
    <x v="1"/>
    <m/>
    <x v="43"/>
    <m/>
    <n v="1"/>
    <m/>
    <n v="14550"/>
    <n v="14550"/>
    <n v="14550"/>
    <s v="مسبق الدفع"/>
    <d v="2024-10-07T00:00:00"/>
    <d v="2024-10-29T00:00:00"/>
    <d v="2024-10-15T00:00:00"/>
    <x v="2"/>
    <x v="3"/>
    <x v="0"/>
  </r>
  <r>
    <s v="شيك هومز "/>
    <x v="1"/>
    <m/>
    <x v="4"/>
    <x v="1"/>
    <x v="2"/>
    <x v="3"/>
    <s v="ارينا"/>
    <x v="1"/>
    <m/>
    <x v="43"/>
    <m/>
    <n v="1"/>
    <m/>
    <n v="14550"/>
    <n v="14550"/>
    <n v="14550"/>
    <s v="كاش"/>
    <d v="2024-10-10T00:00:00"/>
    <d v="2024-10-31T00:00:00"/>
    <d v="2024-11-02T00:00:00"/>
    <x v="0"/>
    <x v="3"/>
    <x v="0"/>
  </r>
  <r>
    <s v="keira"/>
    <x v="0"/>
    <s v="القاهره الجديده "/>
    <x v="5"/>
    <x v="0"/>
    <x v="0"/>
    <x v="1"/>
    <s v="نوفال "/>
    <x v="9"/>
    <s v="100/140"/>
    <x v="43"/>
    <m/>
    <n v="1"/>
    <m/>
    <n v="12899"/>
    <n v="12899"/>
    <n v="12899"/>
    <s v="كاش"/>
    <d v="2024-10-13T00:00:00"/>
    <d v="2024-12-17T00:00:00"/>
    <d v="2024-11-02T00:00:00"/>
    <x v="2"/>
    <x v="3"/>
    <x v="0"/>
  </r>
  <r>
    <s v="tarek"/>
    <x v="0"/>
    <s v="مصر الجديده"/>
    <x v="5"/>
    <x v="0"/>
    <x v="0"/>
    <x v="1"/>
    <s v="كينج"/>
    <x v="0"/>
    <n v="80"/>
    <x v="43"/>
    <m/>
    <n v="1"/>
    <m/>
    <n v="10499"/>
    <n v="10499"/>
    <n v="10499"/>
    <s v="مسبق الدفع "/>
    <d v="2024-10-16T00:00:00"/>
    <d v="2024-12-19T00:00:00"/>
    <d v="2024-10-21T00:00:00"/>
    <x v="2"/>
    <x v="3"/>
    <x v="0"/>
  </r>
  <r>
    <s v="reem"/>
    <x v="0"/>
    <s v="البطاش اسكندريه"/>
    <x v="1"/>
    <x v="0"/>
    <x v="0"/>
    <x v="1"/>
    <s v="نوفال"/>
    <x v="9"/>
    <s v="100/140"/>
    <x v="43"/>
    <m/>
    <n v="1"/>
    <m/>
    <n v="12899"/>
    <n v="12899"/>
    <n v="12899"/>
    <s v="مسبق الدفع "/>
    <d v="2024-10-17T00:00:00"/>
    <d v="2024-12-22T00:00:00"/>
    <d v="2024-12-03T00:00:00"/>
    <x v="2"/>
    <x v="0"/>
    <x v="0"/>
  </r>
  <r>
    <s v="هشام سامى"/>
    <x v="0"/>
    <s v="41 كومبوند جولدن جستس الدور 4 شقه 4"/>
    <x v="4"/>
    <x v="6"/>
    <x v="0"/>
    <x v="4"/>
    <s v="بلحه"/>
    <x v="10"/>
    <n v="140"/>
    <x v="43"/>
    <m/>
    <n v="1"/>
    <m/>
    <n v="5135"/>
    <n v="5135"/>
    <n v="5135"/>
    <s v="مسبق الدفع "/>
    <d v="2024-10-20T00:00:00"/>
    <d v="2024-11-17T00:00:00"/>
    <d v="2024-11-14T00:00:00"/>
    <x v="2"/>
    <x v="3"/>
    <x v="0"/>
  </r>
  <r>
    <s v="شيك هومز "/>
    <x v="1"/>
    <s v="اكتوبر الجيزه"/>
    <x v="0"/>
    <x v="1"/>
    <x v="0"/>
    <x v="1"/>
    <s v="فانتاستك"/>
    <x v="8"/>
    <n v="100"/>
    <x v="43"/>
    <m/>
    <n v="1"/>
    <m/>
    <n v="12777.5"/>
    <n v="12777.5"/>
    <n v="12777.5"/>
    <s v="كاش"/>
    <d v="2024-10-22T00:00:00"/>
    <d v="2024-11-12T00:00:00"/>
    <d v="2024-11-18T00:00:00"/>
    <x v="0"/>
    <x v="3"/>
    <x v="0"/>
  </r>
  <r>
    <s v="شيك هومز "/>
    <x v="1"/>
    <s v="اكتوبر الجيزه"/>
    <x v="0"/>
    <x v="1"/>
    <x v="0"/>
    <x v="1"/>
    <s v="فانتاستك"/>
    <x v="8"/>
    <n v="100"/>
    <x v="43"/>
    <m/>
    <n v="1"/>
    <m/>
    <n v="12777.5"/>
    <n v="12777.5"/>
    <n v="12777.5"/>
    <s v="كاش"/>
    <d v="2024-10-22T00:00:00"/>
    <d v="2024-11-12T00:00:00"/>
    <d v="2024-11-18T00:00:00"/>
    <x v="0"/>
    <x v="3"/>
    <x v="0"/>
  </r>
  <r>
    <s v="اوسكار راتن"/>
    <x v="1"/>
    <s v="المعرض مدينه نصر"/>
    <x v="5"/>
    <x v="4"/>
    <x v="0"/>
    <x v="1"/>
    <s v="فانتاستك"/>
    <x v="8"/>
    <n v="100"/>
    <x v="43"/>
    <m/>
    <n v="1"/>
    <m/>
    <n v="8544.91"/>
    <n v="8544.91"/>
    <n v="0"/>
    <s v="حساب شركه"/>
    <d v="2024-10-22T00:00:00"/>
    <m/>
    <m/>
    <x v="1"/>
    <x v="1"/>
    <x v="1"/>
  </r>
  <r>
    <s v="فاطمه محمد"/>
    <x v="0"/>
    <s v="أكتوبر الجيزه"/>
    <x v="0"/>
    <x v="0"/>
    <x v="0"/>
    <x v="4"/>
    <s v="فورجينا"/>
    <x v="0"/>
    <n v="120"/>
    <x v="43"/>
    <m/>
    <n v="1"/>
    <m/>
    <n v="8943"/>
    <n v="8943"/>
    <n v="8943"/>
    <s v="كاش"/>
    <d v="2024-10-21T00:00:00"/>
    <d v="2024-11-14T00:00:00"/>
    <d v="2024-11-18T00:00:00"/>
    <x v="0"/>
    <x v="3"/>
    <x v="0"/>
  </r>
  <r>
    <s v="شيك هومز "/>
    <x v="1"/>
    <m/>
    <x v="4"/>
    <x v="1"/>
    <x v="2"/>
    <x v="3"/>
    <s v="ارينا"/>
    <x v="1"/>
    <m/>
    <x v="43"/>
    <m/>
    <n v="1"/>
    <m/>
    <n v="15516"/>
    <n v="15516"/>
    <n v="15516"/>
    <s v="مسبق الدفع "/>
    <d v="2024-10-24T00:00:00"/>
    <d v="2024-11-14T00:00:00"/>
    <d v="2024-10-30T00:00:00"/>
    <x v="2"/>
    <x v="3"/>
    <x v="0"/>
  </r>
  <r>
    <s v="شيك هومز "/>
    <x v="1"/>
    <m/>
    <x v="4"/>
    <x v="1"/>
    <x v="0"/>
    <x v="1"/>
    <s v="كينج"/>
    <x v="1"/>
    <n v="100"/>
    <x v="43"/>
    <m/>
    <n v="1"/>
    <m/>
    <n v="10045"/>
    <n v="10045"/>
    <n v="0"/>
    <s v="كاش"/>
    <d v="2024-10-26T00:00:00"/>
    <d v="2024-11-16T00:00:00"/>
    <m/>
    <x v="1"/>
    <x v="1"/>
    <x v="1"/>
  </r>
  <r>
    <s v="ساره"/>
    <x v="0"/>
    <s v="الشيخ زايد اكتوبر"/>
    <x v="0"/>
    <x v="0"/>
    <x v="0"/>
    <x v="1"/>
    <s v="كينج"/>
    <x v="1"/>
    <n v="90"/>
    <x v="43"/>
    <m/>
    <n v="1"/>
    <m/>
    <n v="11649"/>
    <n v="11649"/>
    <n v="11649"/>
    <s v="كاش"/>
    <d v="2024-10-26T00:00:00"/>
    <d v="2024-11-10T00:00:00"/>
    <d v="2024-11-18T00:00:00"/>
    <x v="0"/>
    <x v="3"/>
    <x v="0"/>
  </r>
  <r>
    <s v="ساره"/>
    <x v="0"/>
    <s v="الشيخ زايد اكتوبر"/>
    <x v="0"/>
    <x v="0"/>
    <x v="0"/>
    <x v="1"/>
    <s v="كينج"/>
    <x v="1"/>
    <n v="90"/>
    <x v="43"/>
    <m/>
    <n v="1"/>
    <m/>
    <n v="11649"/>
    <n v="11649"/>
    <n v="11649"/>
    <s v="كاش"/>
    <d v="2024-10-26T00:00:00"/>
    <d v="2024-11-10T00:00:00"/>
    <d v="2024-11-18T00:00:00"/>
    <x v="0"/>
    <x v="3"/>
    <x v="0"/>
  </r>
  <r>
    <s v="بولا هومزمارت"/>
    <x v="0"/>
    <s v="المعادى"/>
    <x v="5"/>
    <x v="0"/>
    <x v="0"/>
    <x v="4"/>
    <s v="اسبانى"/>
    <x v="0"/>
    <n v="100"/>
    <x v="43"/>
    <m/>
    <n v="1"/>
    <m/>
    <n v="5100"/>
    <n v="5100"/>
    <n v="5100"/>
    <s v="كاش"/>
    <d v="2024-10-28T00:00:00"/>
    <d v="2024-11-11T00:00:00"/>
    <d v="2024-11-21T00:00:00"/>
    <x v="0"/>
    <x v="3"/>
    <x v="0"/>
  </r>
  <r>
    <s v="بولا هومزمارت"/>
    <x v="0"/>
    <s v="المعادى"/>
    <x v="5"/>
    <x v="0"/>
    <x v="0"/>
    <x v="4"/>
    <s v="اسبانى"/>
    <x v="0"/>
    <n v="120"/>
    <x v="43"/>
    <m/>
    <n v="1"/>
    <m/>
    <n v="5300"/>
    <n v="5300"/>
    <n v="5300"/>
    <s v="كاش"/>
    <d v="2024-10-28T00:00:00"/>
    <d v="2024-11-11T00:00:00"/>
    <d v="2024-11-21T00:00:00"/>
    <x v="0"/>
    <x v="3"/>
    <x v="0"/>
  </r>
  <r>
    <s v="محمد شكرى "/>
    <x v="0"/>
    <s v="مدينتى"/>
    <x v="5"/>
    <x v="0"/>
    <x v="0"/>
    <x v="1"/>
    <s v="كينج"/>
    <x v="0"/>
    <n v="80"/>
    <x v="43"/>
    <m/>
    <n v="1"/>
    <m/>
    <n v="12099"/>
    <n v="12099"/>
    <n v="12099"/>
    <s v="مسبق الدفع "/>
    <d v="2024-11-11T00:00:00"/>
    <d v="2024-11-26T00:00:00"/>
    <d v="2024-11-27T00:00:00"/>
    <x v="0"/>
    <x v="3"/>
    <x v="0"/>
  </r>
  <r>
    <s v="شيك هومز"/>
    <x v="1"/>
    <s v="مخزن شيك هومز"/>
    <x v="4"/>
    <x v="1"/>
    <x v="2"/>
    <x v="3"/>
    <s v="ارينا"/>
    <x v="1"/>
    <m/>
    <x v="43"/>
    <m/>
    <n v="1"/>
    <m/>
    <n v="15872"/>
    <n v="15872"/>
    <n v="15872"/>
    <s v="مسبق الدفع "/>
    <d v="2024-11-08T00:00:00"/>
    <d v="2024-03-12T00:00:00"/>
    <d v="2024-11-14T00:00:00"/>
    <x v="0"/>
    <x v="3"/>
    <x v="0"/>
  </r>
  <r>
    <s v="منزلى"/>
    <x v="0"/>
    <s v="التجمع الخامس"/>
    <x v="5"/>
    <x v="6"/>
    <x v="0"/>
    <x v="4"/>
    <s v="فورجينا"/>
    <x v="0"/>
    <n v="120"/>
    <x v="43"/>
    <m/>
    <n v="1"/>
    <m/>
    <n v="4520"/>
    <n v="4520"/>
    <n v="4520"/>
    <s v="حساب شركه"/>
    <d v="2024-11-10T00:00:00"/>
    <d v="2024-11-22T00:00:00"/>
    <d v="2024-11-21T00:00:00"/>
    <x v="2"/>
    <x v="3"/>
    <x v="0"/>
  </r>
  <r>
    <s v="اوسكار راتن"/>
    <x v="1"/>
    <s v="المخزن ابو الغيط "/>
    <x v="0"/>
    <x v="4"/>
    <x v="0"/>
    <x v="1"/>
    <s v="كينج"/>
    <x v="1"/>
    <n v="90"/>
    <x v="43"/>
    <m/>
    <n v="1"/>
    <m/>
    <n v="5766"/>
    <n v="5766"/>
    <n v="5766"/>
    <s v="حساب شركه"/>
    <d v="2024-11-12T00:00:00"/>
    <d v="2024-11-26T00:00:00"/>
    <d v="2024-11-25T00:00:00"/>
    <x v="2"/>
    <x v="3"/>
    <x v="0"/>
  </r>
  <r>
    <s v="حماده"/>
    <x v="0"/>
    <s v="المعادى"/>
    <x v="5"/>
    <x v="0"/>
    <x v="0"/>
    <x v="4"/>
    <s v="فورجينا"/>
    <x v="6"/>
    <n v="160"/>
    <x v="43"/>
    <m/>
    <n v="1"/>
    <m/>
    <n v="11395"/>
    <n v="11395"/>
    <n v="11395"/>
    <s v="مسبق الدفع "/>
    <d v="2024-11-12T00:00:00"/>
    <d v="2024-11-24T00:00:00"/>
    <d v="2024-11-27T00:00:00"/>
    <x v="0"/>
    <x v="3"/>
    <x v="0"/>
  </r>
  <r>
    <s v="صفاء عبد الباقي"/>
    <x v="0"/>
    <s v="التجمع الخامس"/>
    <x v="5"/>
    <x v="0"/>
    <x v="0"/>
    <x v="1"/>
    <s v="كينج"/>
    <x v="0"/>
    <n v="80"/>
    <x v="43"/>
    <m/>
    <n v="1"/>
    <m/>
    <n v="12919"/>
    <n v="12919"/>
    <n v="12919"/>
    <s v="مسبق الدفع "/>
    <d v="2024-11-14T00:00:00"/>
    <d v="2024-11-30T00:00:00"/>
    <d v="2024-11-27T00:00:00"/>
    <x v="2"/>
    <x v="3"/>
    <x v="0"/>
  </r>
  <r>
    <s v="اوسكار راتن"/>
    <x v="1"/>
    <s v="المخزن ابو الغيط "/>
    <x v="0"/>
    <x v="4"/>
    <x v="0"/>
    <x v="1"/>
    <s v="نوفال"/>
    <x v="4"/>
    <n v="120"/>
    <x v="43"/>
    <m/>
    <n v="1"/>
    <m/>
    <n v="6376"/>
    <n v="6376"/>
    <n v="6376"/>
    <s v="حساب شركه"/>
    <d v="2024-11-14T00:00:00"/>
    <d v="2024-11-27T00:00:00"/>
    <d v="2024-11-25T00:00:00"/>
    <x v="2"/>
    <x v="3"/>
    <x v="0"/>
  </r>
  <r>
    <s v="اوسكار راتن"/>
    <x v="1"/>
    <s v="المخزن"/>
    <x v="4"/>
    <x v="4"/>
    <x v="0"/>
    <x v="13"/>
    <s v="نوفال"/>
    <x v="1"/>
    <n v="90"/>
    <x v="43"/>
    <m/>
    <n v="1"/>
    <m/>
    <n v="5294"/>
    <n v="5294"/>
    <n v="5294"/>
    <s v="حساب شركه"/>
    <d v="2024-11-14T00:00:00"/>
    <d v="2024-11-27T00:00:00"/>
    <d v="2024-11-25T00:00:00"/>
    <x v="2"/>
    <x v="3"/>
    <x v="0"/>
  </r>
  <r>
    <s v="رندا العامرى "/>
    <x v="0"/>
    <s v="٦ اكتوبر الجيزه "/>
    <x v="0"/>
    <x v="7"/>
    <x v="0"/>
    <x v="13"/>
    <s v="كينج"/>
    <x v="0"/>
    <n v="80"/>
    <x v="43"/>
    <m/>
    <n v="1"/>
    <m/>
    <n v="7396"/>
    <n v="7396"/>
    <n v="7396"/>
    <s v="مسبق الدفع "/>
    <d v="2024-11-17T00:00:00"/>
    <d v="2024-11-28T00:00:00"/>
    <d v="2024-11-26T00:00:00"/>
    <x v="2"/>
    <x v="3"/>
    <x v="0"/>
  </r>
  <r>
    <s v="ساره"/>
    <x v="0"/>
    <s v="٦ اكتوبر الجيزه"/>
    <x v="0"/>
    <x v="0"/>
    <x v="0"/>
    <x v="1"/>
    <s v="كينج"/>
    <x v="1"/>
    <n v="90"/>
    <x v="43"/>
    <m/>
    <n v="1"/>
    <m/>
    <n v="13439"/>
    <n v="13439"/>
    <n v="13439"/>
    <s v="كاش"/>
    <d v="2024-11-20T00:00:00"/>
    <d v="2024-12-05T00:00:00"/>
    <d v="2024-11-26T00:00:00"/>
    <x v="2"/>
    <x v="3"/>
    <x v="0"/>
  </r>
  <r>
    <s v="تاكى "/>
    <x v="1"/>
    <s v="العباسيه "/>
    <x v="5"/>
    <x v="3"/>
    <x v="0"/>
    <x v="14"/>
    <s v="امريكى"/>
    <x v="1"/>
    <n v="160"/>
    <x v="43"/>
    <m/>
    <n v="1"/>
    <m/>
    <n v="5100"/>
    <n v="5100"/>
    <n v="0"/>
    <s v="حساب شركه"/>
    <d v="2024-11-14T00:00:00"/>
    <d v="2024-12-08T00:00:00"/>
    <m/>
    <x v="1"/>
    <x v="1"/>
    <x v="1"/>
  </r>
  <r>
    <s v="محمد حمدى"/>
    <x v="0"/>
    <s v="مصر الجديده"/>
    <x v="5"/>
    <x v="2"/>
    <x v="0"/>
    <x v="4"/>
    <s v="كوين "/>
    <x v="11"/>
    <n v="160"/>
    <x v="43"/>
    <m/>
    <n v="1"/>
    <m/>
    <n v="6000"/>
    <n v="6000"/>
    <n v="6000"/>
    <s v="كاش"/>
    <d v="2024-11-22T00:00:00"/>
    <d v="2024-12-02T00:00:00"/>
    <d v="2024-11-27T00:00:00"/>
    <x v="2"/>
    <x v="3"/>
    <x v="0"/>
  </r>
  <r>
    <s v="بافلى هانى "/>
    <x v="0"/>
    <s v="شبرا "/>
    <x v="5"/>
    <x v="0"/>
    <x v="0"/>
    <x v="14"/>
    <s v="اسبانى "/>
    <x v="4"/>
    <n v="120"/>
    <x v="43"/>
    <m/>
    <n v="1"/>
    <m/>
    <n v="10885"/>
    <n v="10885"/>
    <n v="10885"/>
    <s v="كاش"/>
    <d v="2024-11-24T00:00:00"/>
    <d v="2024-12-05T00:00:00"/>
    <d v="2024-12-10T00:00:00"/>
    <x v="0"/>
    <x v="3"/>
    <x v="0"/>
  </r>
  <r>
    <s v="تاكى "/>
    <x v="1"/>
    <s v="العباسيه "/>
    <x v="5"/>
    <x v="3"/>
    <x v="2"/>
    <x v="15"/>
    <s v="t1"/>
    <x v="3"/>
    <m/>
    <x v="43"/>
    <m/>
    <n v="1"/>
    <m/>
    <n v="6000"/>
    <n v="6000"/>
    <n v="6000"/>
    <s v="كاش"/>
    <d v="2024-11-19T00:00:00"/>
    <d v="2024-12-05T00:00:00"/>
    <d v="2024-11-20T00:00:00"/>
    <x v="2"/>
    <x v="5"/>
    <x v="0"/>
  </r>
  <r>
    <s v="رنا ميلاد"/>
    <x v="0"/>
    <s v="جليم الإسكندرية "/>
    <x v="1"/>
    <x v="0"/>
    <x v="1"/>
    <x v="2"/>
    <s v="مكتبه"/>
    <x v="3"/>
    <m/>
    <x v="43"/>
    <m/>
    <n v="1"/>
    <m/>
    <n v="8449"/>
    <n v="8449"/>
    <n v="8449"/>
    <s v="مسبق الدفع "/>
    <d v="2024-11-27T00:00:00"/>
    <d v="2024-12-10T00:00:00"/>
    <d v="2024-12-23T00:00:00"/>
    <x v="0"/>
    <x v="0"/>
    <x v="0"/>
  </r>
  <r>
    <s v="محمد ناجى"/>
    <x v="0"/>
    <s v="مدينه نصر "/>
    <x v="5"/>
    <x v="0"/>
    <x v="1"/>
    <x v="16"/>
    <s v="ميكانزم"/>
    <x v="0"/>
    <m/>
    <x v="43"/>
    <m/>
    <n v="1"/>
    <m/>
    <n v="10249"/>
    <n v="10249"/>
    <n v="10249"/>
    <s v="كاش"/>
    <d v="2024-11-27T00:00:00"/>
    <d v="2024-12-10T00:00:00"/>
    <d v="2024-12-19T00:00:00"/>
    <x v="0"/>
    <x v="3"/>
    <x v="0"/>
  </r>
  <r>
    <s v="احمد عبد الستار"/>
    <x v="0"/>
    <s v="المندره اسكندريه"/>
    <x v="1"/>
    <x v="0"/>
    <x v="0"/>
    <x v="1"/>
    <s v="كينج"/>
    <x v="1"/>
    <n v="100"/>
    <x v="43"/>
    <m/>
    <m/>
    <m/>
    <n v="14905"/>
    <n v="14905"/>
    <n v="0"/>
    <s v="مسبق الدفع "/>
    <d v="2024-11-29T00:00:00"/>
    <d v="2024-12-15T00:00:00"/>
    <m/>
    <x v="1"/>
    <x v="1"/>
    <x v="1"/>
  </r>
  <r>
    <s v="نور "/>
    <x v="0"/>
    <s v="القاهره الجديده"/>
    <x v="5"/>
    <x v="0"/>
    <x v="1"/>
    <x v="16"/>
    <s v="ميكانزم"/>
    <x v="1"/>
    <m/>
    <x v="43"/>
    <m/>
    <m/>
    <m/>
    <n v="10249"/>
    <n v="10249"/>
    <n v="0"/>
    <s v="مسبق الدفع "/>
    <d v="2024-11-30T00:00:00"/>
    <d v="2024-12-12T00:00:00"/>
    <m/>
    <x v="1"/>
    <x v="1"/>
    <x v="1"/>
  </r>
  <r>
    <s v="نور"/>
    <x v="0"/>
    <s v="القاهره الجديده"/>
    <x v="5"/>
    <x v="0"/>
    <x v="1"/>
    <x v="9"/>
    <m/>
    <x v="1"/>
    <m/>
    <x v="43"/>
    <m/>
    <m/>
    <m/>
    <n v="9029"/>
    <n v="9029"/>
    <n v="0"/>
    <s v="مسبق الدفع "/>
    <d v="2024-11-30T00:00:00"/>
    <d v="2024-12-12T00:00:00"/>
    <m/>
    <x v="1"/>
    <x v="1"/>
    <x v="1"/>
  </r>
  <r>
    <s v="تامر"/>
    <x v="0"/>
    <s v="العين السخنه"/>
    <x v="6"/>
    <x v="0"/>
    <x v="1"/>
    <x v="17"/>
    <m/>
    <x v="1"/>
    <m/>
    <x v="43"/>
    <m/>
    <m/>
    <m/>
    <n v="9029"/>
    <n v="9029"/>
    <n v="0"/>
    <s v="مسبق الدفع "/>
    <d v="2024-11-30T00:00:00"/>
    <d v="2024-12-12T00:00:00"/>
    <m/>
    <x v="1"/>
    <x v="1"/>
    <x v="1"/>
  </r>
  <r>
    <s v="هناء اسامه"/>
    <x v="0"/>
    <s v="القطاميه"/>
    <x v="5"/>
    <x v="0"/>
    <x v="0"/>
    <x v="13"/>
    <s v="نوفال"/>
    <x v="0"/>
    <n v="80"/>
    <x v="43"/>
    <m/>
    <m/>
    <m/>
    <n v="12099"/>
    <n v="12099"/>
    <n v="0"/>
    <s v="مسبق الدفع "/>
    <d v="2024-12-02T00:00:00"/>
    <d v="2024-12-17T00:00:00"/>
    <m/>
    <x v="1"/>
    <x v="1"/>
    <x v="1"/>
  </r>
  <r>
    <s v="اوسكار راتن"/>
    <x v="1"/>
    <s v="المخزن ابو الغيط "/>
    <x v="0"/>
    <x v="4"/>
    <x v="0"/>
    <x v="13"/>
    <s v="كينج"/>
    <x v="2"/>
    <n v="90"/>
    <x v="43"/>
    <m/>
    <n v="1"/>
    <m/>
    <n v="5217"/>
    <n v="5217"/>
    <n v="5217"/>
    <s v="حساب شركه"/>
    <d v="2024-12-01T00:00:00"/>
    <d v="2024-12-14T00:00:00"/>
    <d v="2024-12-10T00:00:00"/>
    <x v="2"/>
    <x v="3"/>
    <x v="0"/>
  </r>
  <r>
    <s v="محمد عادل "/>
    <x v="0"/>
    <s v="العبور"/>
    <x v="5"/>
    <x v="0"/>
    <x v="0"/>
    <x v="0"/>
    <m/>
    <x v="1"/>
    <m/>
    <x v="43"/>
    <m/>
    <n v="1"/>
    <m/>
    <n v="10249"/>
    <n v="10249"/>
    <n v="10249"/>
    <s v="كاش"/>
    <d v="2024-12-04T00:00:00"/>
    <d v="2024-12-14T00:00:00"/>
    <d v="2024-12-19T00:00:00"/>
    <x v="0"/>
    <x v="3"/>
    <x v="0"/>
  </r>
  <r>
    <s v="مريم عنان"/>
    <x v="0"/>
    <s v="اب تاون كايرو التجمع "/>
    <x v="5"/>
    <x v="1"/>
    <x v="0"/>
    <x v="1"/>
    <s v="كينج"/>
    <x v="1"/>
    <m/>
    <x v="43"/>
    <m/>
    <n v="1"/>
    <m/>
    <n v="10445"/>
    <n v="10445"/>
    <n v="10445"/>
    <s v="كاش"/>
    <d v="2024-12-09T00:00:00"/>
    <d v="2024-12-31T00:00:00"/>
    <d v="2024-12-12T00:00:00"/>
    <x v="2"/>
    <x v="3"/>
    <x v="0"/>
  </r>
  <r>
    <s v="هبه عطيه "/>
    <x v="0"/>
    <s v="القاهره الجديده"/>
    <x v="5"/>
    <x v="0"/>
    <x v="1"/>
    <x v="18"/>
    <s v="ميكانزم"/>
    <x v="1"/>
    <m/>
    <x v="43"/>
    <m/>
    <n v="1"/>
    <m/>
    <n v="11199"/>
    <n v="11199"/>
    <n v="11199"/>
    <s v="كاش"/>
    <d v="2024-12-12T00:00:00"/>
    <d v="2024-12-24T00:00:00"/>
    <d v="2024-12-19T00:00:00"/>
    <x v="2"/>
    <x v="3"/>
    <x v="0"/>
  </r>
  <r>
    <s v="حمدى ذكرى"/>
    <x v="0"/>
    <s v="٦ اكتوبر الجيزه"/>
    <x v="0"/>
    <x v="0"/>
    <x v="0"/>
    <x v="1"/>
    <s v="نوفال"/>
    <x v="1"/>
    <n v="80"/>
    <x v="43"/>
    <m/>
    <n v="1"/>
    <m/>
    <n v="13099"/>
    <n v="13099"/>
    <n v="13099"/>
    <s v="كاش"/>
    <d v="2024-12-12T00:00:00"/>
    <d v="2024-12-28T00:00:00"/>
    <d v="2024-12-29T00:00:00"/>
    <x v="0"/>
    <x v="3"/>
    <x v="0"/>
  </r>
  <r>
    <s v="شيك هومز"/>
    <x v="1"/>
    <s v="مخزن شيك هومز"/>
    <x v="4"/>
    <x v="1"/>
    <x v="2"/>
    <x v="3"/>
    <s v="ارينا"/>
    <x v="1"/>
    <m/>
    <x v="43"/>
    <m/>
    <n v="1"/>
    <m/>
    <n v="8700"/>
    <n v="8700"/>
    <n v="8700"/>
    <s v="حساب شركه"/>
    <d v="2024-12-14T00:00:00"/>
    <d v="2025-01-05T00:00:00"/>
    <d v="2024-12-29T00:00:00"/>
    <x v="2"/>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17A9F-6128-4B8A-A60E-A4AF384EEDF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5:AB7" firstHeaderRow="1" firstDataRow="1" firstDataCol="1"/>
  <pivotFields count="24">
    <pivotField showAll="0"/>
    <pivotField showAll="0">
      <items count="3">
        <item h="1" x="0"/>
        <item x="1"/>
        <item t="default"/>
      </items>
    </pivotField>
    <pivotField showAll="0"/>
    <pivotField showAll="0">
      <items count="9">
        <item x="7"/>
        <item x="1"/>
        <item x="3"/>
        <item x="0"/>
        <item x="6"/>
        <item x="5"/>
        <item x="2"/>
        <item x="4"/>
        <item t="default"/>
      </items>
    </pivotField>
    <pivotField showAll="0">
      <items count="9">
        <item h="1" x="5"/>
        <item h="1" x="4"/>
        <item h="1" x="3"/>
        <item x="1"/>
        <item h="1" x="2"/>
        <item h="1" x="7"/>
        <item h="1" x="6"/>
        <item h="1" x="0"/>
        <item t="default"/>
      </items>
    </pivotField>
    <pivotField showAll="0"/>
    <pivotField showAll="0"/>
    <pivotField showAll="0"/>
    <pivotField axis="axisRow" showAll="0">
      <items count="13">
        <item x="0"/>
        <item x="2"/>
        <item x="1"/>
        <item x="7"/>
        <item x="6"/>
        <item x="9"/>
        <item x="11"/>
        <item x="5"/>
        <item x="4"/>
        <item x="8"/>
        <item x="10"/>
        <item h="1" x="3"/>
        <item t="default"/>
      </items>
    </pivotField>
    <pivotField showAll="0"/>
    <pivotField showAll="0"/>
    <pivotField showAll="0"/>
    <pivotField dataField="1" showAll="0"/>
    <pivotField showAll="0"/>
    <pivotField showAll="0"/>
    <pivotField numFmtId="167" showAll="0"/>
    <pivotField numFmtId="167" showAll="0"/>
    <pivotField showAll="0"/>
    <pivotField showAll="0"/>
    <pivotField showAll="0"/>
    <pivotField showAll="0"/>
    <pivotField showAll="0">
      <items count="4">
        <item x="2"/>
        <item x="1"/>
        <item x="0"/>
        <item t="default"/>
      </items>
    </pivotField>
    <pivotField showAll="0"/>
    <pivotField showAll="0">
      <items count="4">
        <item h="1" x="0"/>
        <item h="1" x="2"/>
        <item x="1"/>
        <item t="default"/>
      </items>
    </pivotField>
  </pivotFields>
  <rowFields count="1">
    <field x="8"/>
  </rowFields>
  <rowItems count="2">
    <i>
      <x v="2"/>
    </i>
    <i t="grand">
      <x/>
    </i>
  </rowItems>
  <colItems count="1">
    <i/>
  </colItems>
  <dataFields count="1">
    <dataField name="Sum of الكمية" fld="12"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8F6691-B52A-49EF-BC09-C70A75128D1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Q6:R8" firstHeaderRow="1" firstDataRow="1" firstDataCol="1"/>
  <pivotFields count="24">
    <pivotField showAll="0"/>
    <pivotField showAll="0">
      <items count="3">
        <item h="1" x="0"/>
        <item x="1"/>
        <item t="default"/>
      </items>
    </pivotField>
    <pivotField showAll="0"/>
    <pivotField showAll="0"/>
    <pivotField axis="axisRow" showAll="0" sortType="descending">
      <items count="9">
        <item h="1" x="5"/>
        <item h="1" x="4"/>
        <item h="1" x="3"/>
        <item x="1"/>
        <item h="1" x="2"/>
        <item h="1" x="7"/>
        <item h="1" x="6"/>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rowFields count="1">
    <field x="4"/>
  </rowFields>
  <rowItems count="2">
    <i>
      <x v="3"/>
    </i>
    <i t="grand">
      <x/>
    </i>
  </rowItems>
  <colItems count="1">
    <i/>
  </colItems>
  <dataFields count="1">
    <dataField name="Sum of الكمية" fld="12"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4A789-CD4D-4C31-88E8-18B75AC6EA1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24">
    <pivotField dataField="1"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rowItems count="1">
    <i/>
  </rowItems>
  <colItems count="1">
    <i/>
  </colItems>
  <dataFields count="1">
    <dataField name="Count of أسم العميل"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38F64E-1825-4B49-8022-E993B909429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13:AW30" firstHeaderRow="1" firstDataRow="1" firstDataCol="0"/>
  <pivotFields count="24">
    <pivotField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FA3090-7C0E-4743-8689-149B4ED04F5E}"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P6:AQ7" firstHeaderRow="1" firstDataRow="1" firstDataCol="1"/>
  <pivotFields count="24">
    <pivotField showAll="0"/>
    <pivotField showAll="0">
      <items count="3">
        <item h="1" x="0"/>
        <item x="1"/>
        <item t="default"/>
      </items>
    </pivotField>
    <pivotField showAll="0"/>
    <pivotField axis="axisRow" showAll="0" sortType="descending">
      <items count="9">
        <item x="7"/>
        <item x="1"/>
        <item x="3"/>
        <item x="0"/>
        <item x="6"/>
        <item x="5"/>
        <item x="2"/>
        <item h="1" x="4"/>
        <item t="default"/>
      </items>
      <autoSortScope>
        <pivotArea dataOnly="0" outline="0" fieldPosition="0">
          <references count="1">
            <reference field="4294967294" count="1" selected="0">
              <x v="0"/>
            </reference>
          </references>
        </pivotArea>
      </autoSortScope>
    </pivotField>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dataField="1"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rowFields count="1">
    <field x="3"/>
  </rowFields>
  <rowItems count="1">
    <i t="grand">
      <x/>
    </i>
  </rowItems>
  <colItems count="1">
    <i/>
  </colItems>
  <dataFields count="1">
    <dataField name="Sum of الكمية" fld="12"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EC9101-232A-43F3-B7D2-93648815217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L7" firstHeaderRow="1" firstDataRow="1" firstDataCol="0"/>
  <pivotFields count="24">
    <pivotField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dataField="1"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rowItems count="1">
    <i/>
  </rowItems>
  <colItems count="1">
    <i/>
  </colItems>
  <dataFields count="1">
    <dataField name="Average of سعر البيع " fld="14" subtotal="average" baseField="0" baseItem="0" numFmtId="1"/>
  </dataFields>
  <formats count="1">
    <format dxfId="6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3A086D-F0D0-4E0A-9515-0D52FD9B6DB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4">
    <pivotField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showAll="0"/>
    <pivotField numFmtId="167" showAll="0"/>
    <pivotField dataField="1" numFmtId="167" showAll="0"/>
    <pivotField showAll="0"/>
    <pivotField showAll="0"/>
    <pivotField showAll="0"/>
    <pivotField showAll="0"/>
    <pivotField showAll="0"/>
    <pivotField showAll="0"/>
    <pivotField showAll="0">
      <items count="4">
        <item h="1" x="0"/>
        <item h="1" x="2"/>
        <item x="1"/>
        <item t="default"/>
      </items>
    </pivotField>
  </pivotFields>
  <rowItems count="1">
    <i/>
  </rowItems>
  <colItems count="1">
    <i/>
  </colItems>
  <dataFields count="1">
    <dataField name="Sum of صافي المبيعات" fld="16" baseField="0" baseItem="0" numFmtId="167"/>
  </dataFields>
  <formats count="3">
    <format dxfId="699">
      <pivotArea type="all" dataOnly="0" outline="0" fieldPosition="0"/>
    </format>
    <format dxfId="698">
      <pivotArea outline="0" collapsedLevelsAreSubtotals="1" fieldPosition="0"/>
    </format>
    <format dxfId="6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C3D324-0319-479D-9349-CCE6F75B415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V6:W8" firstHeaderRow="1" firstDataRow="1" firstDataCol="1"/>
  <pivotFields count="24">
    <pivotField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axis="axisRow" showAll="0" sortType="a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 showAll="0">
      <items count="20">
        <item x="7"/>
        <item x="17"/>
        <item x="3"/>
        <item x="15"/>
        <item x="11"/>
        <item x="10"/>
        <item x="18"/>
        <item x="16"/>
        <item x="1"/>
        <item x="13"/>
        <item x="9"/>
        <item x="5"/>
        <item x="6"/>
        <item x="4"/>
        <item x="14"/>
        <item x="8"/>
        <item x="12"/>
        <item x="0"/>
        <item x="2"/>
        <item t="default"/>
      </items>
    </pivotField>
    <pivotField showAll="0"/>
    <pivotField showAll="0"/>
    <pivotField showAll="0"/>
    <pivotField showAll="0" sortType="descending">
      <items count="45">
        <item x="35"/>
        <item x="21"/>
        <item x="12"/>
        <item x="3"/>
        <item x="38"/>
        <item x="7"/>
        <item x="29"/>
        <item x="34"/>
        <item x="23"/>
        <item x="20"/>
        <item x="37"/>
        <item x="16"/>
        <item x="24"/>
        <item x="31"/>
        <item x="6"/>
        <item x="11"/>
        <item x="39"/>
        <item x="19"/>
        <item x="25"/>
        <item x="28"/>
        <item x="13"/>
        <item x="26"/>
        <item x="40"/>
        <item x="30"/>
        <item x="2"/>
        <item x="32"/>
        <item x="17"/>
        <item x="14"/>
        <item x="18"/>
        <item x="36"/>
        <item x="22"/>
        <item x="1"/>
        <item x="0"/>
        <item x="41"/>
        <item x="27"/>
        <item x="10"/>
        <item x="4"/>
        <item x="42"/>
        <item x="15"/>
        <item x="9"/>
        <item x="8"/>
        <item x="33"/>
        <item x="5"/>
        <item h="1" x="4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rowFields count="1">
    <field x="5"/>
  </rowFields>
  <rowItems count="2">
    <i>
      <x v="2"/>
    </i>
    <i t="grand">
      <x/>
    </i>
  </rowItems>
  <colItems count="1">
    <i/>
  </colItems>
  <dataFields count="1">
    <dataField name="Sum of الكمية" fld="12"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7C8278-A529-4EAE-BFD1-66AD7D3992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U6:AV8" firstHeaderRow="1" firstDataRow="1" firstDataCol="1"/>
  <pivotFields count="24">
    <pivotField dataField="1" showAll="0"/>
    <pivotField axis="axisRow"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rowFields count="1">
    <field x="1"/>
  </rowFields>
  <rowItems count="2">
    <i>
      <x v="1"/>
    </i>
    <i t="grand">
      <x/>
    </i>
  </rowItems>
  <colItems count="1">
    <i/>
  </colItems>
  <dataFields count="1">
    <dataField name="Count of أسم العميل" fld="0" subtotal="count" baseField="0" baseItem="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098190-C8C1-4E43-A871-8EEBE3BB765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K6:AL8" firstHeaderRow="1" firstDataRow="1" firstDataCol="1"/>
  <pivotFields count="24">
    <pivotField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showAll="0"/>
    <pivotField numFmtId="167" showAll="0"/>
    <pivotField numFmtId="167" showAll="0"/>
    <pivotField showAll="0"/>
    <pivotField showAll="0"/>
    <pivotField showAll="0"/>
    <pivotField showAll="0"/>
    <pivotField showAll="0"/>
    <pivotField showAll="0"/>
    <pivotField axis="axisRow" dataField="1" showAll="0">
      <items count="4">
        <item h="1" x="0"/>
        <item h="1" x="2"/>
        <item x="1"/>
        <item t="default"/>
      </items>
    </pivotField>
  </pivotFields>
  <rowFields count="1">
    <field x="23"/>
  </rowFields>
  <rowItems count="2">
    <i>
      <x v="2"/>
    </i>
    <i t="grand">
      <x/>
    </i>
  </rowItems>
  <colItems count="1">
    <i/>
  </colItems>
  <dataFields count="1">
    <dataField name="Count of الحالة" fld="23" subtotal="count" showDataAs="percentOfTotal" baseField="23" baseItem="0" numFmtId="10"/>
  </dataFields>
  <formats count="3">
    <format dxfId="702">
      <pivotArea collapsedLevelsAreSubtotals="1" fieldPosition="0">
        <references count="1">
          <reference field="23" count="1">
            <x v="0"/>
          </reference>
        </references>
      </pivotArea>
    </format>
    <format dxfId="701">
      <pivotArea collapsedLevelsAreSubtotals="1" fieldPosition="0">
        <references count="1">
          <reference field="23" count="1">
            <x v="2"/>
          </reference>
        </references>
      </pivotArea>
    </format>
    <format dxfId="700">
      <pivotArea collapsedLevelsAreSubtotals="1" fieldPosition="0">
        <references count="1">
          <reference field="23" count="1">
            <x v="1"/>
          </reference>
        </references>
      </pivotArea>
    </format>
  </formats>
  <chartFormats count="4">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23" count="1" selected="0">
            <x v="0"/>
          </reference>
        </references>
      </pivotArea>
    </chartFormat>
    <chartFormat chart="26" format="18">
      <pivotArea type="data" outline="0" fieldPosition="0">
        <references count="2">
          <reference field="4294967294" count="1" selected="0">
            <x v="0"/>
          </reference>
          <reference field="23" count="1" selected="0">
            <x v="1"/>
          </reference>
        </references>
      </pivotArea>
    </chartFormat>
    <chartFormat chart="26" format="19">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DF9F67-99FF-4666-908C-7698CACBBF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F6:AG8" firstHeaderRow="1" firstDataRow="1" firstDataCol="1" rowPageCount="1" colPageCount="1"/>
  <pivotFields count="24">
    <pivotField showAll="0"/>
    <pivotField showAll="0">
      <items count="3">
        <item h="1" x="0"/>
        <item x="1"/>
        <item t="default"/>
      </items>
    </pivotField>
    <pivotField showAll="0"/>
    <pivotField showAll="0">
      <items count="9">
        <item x="7"/>
        <item x="1"/>
        <item x="3"/>
        <item x="0"/>
        <item x="6"/>
        <item x="5"/>
        <item x="2"/>
        <item x="4"/>
        <item t="default"/>
      </items>
    </pivotField>
    <pivotField showAll="0">
      <items count="9">
        <item h="1" x="5"/>
        <item h="1" x="4"/>
        <item h="1" x="3"/>
        <item x="1"/>
        <item h="1" x="2"/>
        <item h="1" x="7"/>
        <item h="1" x="6"/>
        <item h="1" x="0"/>
        <item t="default"/>
      </items>
    </pivotField>
    <pivotField showAll="0"/>
    <pivotField showAll="0">
      <items count="20">
        <item x="7"/>
        <item x="17"/>
        <item x="3"/>
        <item x="15"/>
        <item x="11"/>
        <item x="10"/>
        <item x="18"/>
        <item x="16"/>
        <item x="1"/>
        <item x="13"/>
        <item x="9"/>
        <item x="5"/>
        <item x="6"/>
        <item x="4"/>
        <item x="14"/>
        <item x="8"/>
        <item x="12"/>
        <item x="0"/>
        <item x="2"/>
        <item t="default"/>
      </items>
    </pivotField>
    <pivotField showAll="0"/>
    <pivotField showAll="0">
      <items count="13">
        <item x="0"/>
        <item x="2"/>
        <item x="1"/>
        <item x="7"/>
        <item x="6"/>
        <item x="9"/>
        <item x="11"/>
        <item x="5"/>
        <item x="4"/>
        <item x="8"/>
        <item x="10"/>
        <item x="3"/>
        <item t="default"/>
      </items>
    </pivotField>
    <pivotField showAll="0"/>
    <pivotField showAll="0"/>
    <pivotField showAll="0"/>
    <pivotField showAll="0"/>
    <pivotField showAll="0"/>
    <pivotField showAll="0"/>
    <pivotField numFmtId="167" showAll="0"/>
    <pivotField numFmtId="167" showAll="0"/>
    <pivotField showAll="0"/>
    <pivotField showAll="0"/>
    <pivotField showAll="0"/>
    <pivotField showAll="0"/>
    <pivotField axis="axisRow" dataField="1" showAll="0">
      <items count="4">
        <item x="2"/>
        <item x="1"/>
        <item x="0"/>
        <item t="default"/>
      </items>
    </pivotField>
    <pivotField showAll="0"/>
    <pivotField axis="axisPage" showAll="0">
      <items count="4">
        <item x="0"/>
        <item x="2"/>
        <item x="1"/>
        <item t="default"/>
      </items>
    </pivotField>
  </pivotFields>
  <rowFields count="1">
    <field x="21"/>
  </rowFields>
  <rowItems count="2">
    <i>
      <x v="1"/>
    </i>
    <i t="grand">
      <x/>
    </i>
  </rowItems>
  <colItems count="1">
    <i/>
  </colItems>
  <pageFields count="1">
    <pageField fld="23" item="2" hier="-1"/>
  </pageFields>
  <dataFields count="1">
    <dataField name="Count of التسليم في الموعد" fld="21" subtotal="count" showDataAs="percentOfCol" baseField="21" baseItem="0" numFmtId="10"/>
  </dataFields>
  <chartFormats count="4">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1" count="1" selected="0">
            <x v="0"/>
          </reference>
        </references>
      </pivotArea>
    </chartFormat>
    <chartFormat chart="9" format="6">
      <pivotArea type="data" outline="0" fieldPosition="0">
        <references count="2">
          <reference field="4294967294" count="1" selected="0">
            <x v="0"/>
          </reference>
          <reference field="21" count="1" selected="0">
            <x v="2"/>
          </reference>
        </references>
      </pivotArea>
    </chartFormat>
    <chartFormat chart="9" format="7">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8BF608-85CD-4790-A876-D24FE27FA5E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9:X36" firstHeaderRow="1" firstDataRow="1" firstDataCol="0"/>
  <pivotFields count="24">
    <pivotField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6C92A0-7ECA-4B1E-BC25-4F7BA21A454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1:AC38" firstHeaderRow="1" firstDataRow="1" firstDataCol="0"/>
  <pivotFields count="24">
    <pivotField showAll="0"/>
    <pivotField showAll="0">
      <items count="3">
        <item h="1" x="0"/>
        <item x="1"/>
        <item t="default"/>
      </items>
    </pivotField>
    <pivotField showAll="0"/>
    <pivotField showAll="0"/>
    <pivotField showAll="0">
      <items count="9">
        <item h="1" x="5"/>
        <item h="1" x="4"/>
        <item h="1" x="3"/>
        <item x="1"/>
        <item h="1" x="2"/>
        <item h="1" x="7"/>
        <item h="1" x="6"/>
        <item h="1" x="0"/>
        <item t="default"/>
      </items>
    </pivotField>
    <pivotField showAll="0"/>
    <pivotField showAll="0"/>
    <pivotField showAll="0"/>
    <pivotField showAll="0"/>
    <pivotField showAll="0"/>
    <pivotField showAll="0"/>
    <pivotField showAll="0"/>
    <pivotField showAll="0"/>
    <pivotField showAll="0"/>
    <pivotField showAll="0"/>
    <pivotField numFmtId="167" showAll="0"/>
    <pivotField numFmtId="167" showAll="0"/>
    <pivotField showAll="0"/>
    <pivotField showAll="0"/>
    <pivotField showAll="0"/>
    <pivotField showAll="0"/>
    <pivotField showAll="0"/>
    <pivotField showAll="0"/>
    <pivotField showAll="0">
      <items count="4">
        <item h="1" x="0"/>
        <item h="1" x="2"/>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E74236A3-3F5A-440F-90F7-E918AD36CBE2}" sourceName="نوع العميل">
  <pivotTables>
    <pivotTable tabId="14" name="PivotTable19"/>
    <pivotTable tabId="14" name="PivotTable10"/>
    <pivotTable tabId="14" name="PivotTable11"/>
    <pivotTable tabId="14" name="PivotTable12"/>
    <pivotTable tabId="14" name="PivotTable13"/>
    <pivotTable tabId="14" name="PivotTable15"/>
    <pivotTable tabId="14" name="PivotTable16"/>
    <pivotTable tabId="14" name="PivotTable17"/>
    <pivotTable tabId="14" name="PivotTable18"/>
    <pivotTable tabId="14" name="PivotTable2"/>
    <pivotTable tabId="14" name="PivotTable20"/>
    <pivotTable tabId="14" name="PivotTable21"/>
    <pivotTable tabId="14" name="PivotTable9"/>
  </pivotTables>
  <data>
    <tabular pivotCacheId="1245201269">
      <items count="2">
        <i x="1"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F2895D91-D1D9-4DFF-9BFD-E6931A75FC78}" sourceName="الحالة">
  <pivotTables>
    <pivotTable tabId="14" name="PivotTable17"/>
    <pivotTable tabId="14" name="PivotTable10"/>
    <pivotTable tabId="14" name="PivotTable11"/>
    <pivotTable tabId="14" name="PivotTable12"/>
    <pivotTable tabId="14" name="PivotTable13"/>
    <pivotTable tabId="14" name="PivotTable15"/>
    <pivotTable tabId="14" name="PivotTable16"/>
    <pivotTable tabId="14" name="PivotTable18"/>
    <pivotTable tabId="14" name="PivotTable19"/>
    <pivotTable tabId="14" name="PivotTable2"/>
    <pivotTable tabId="14" name="PivotTable20"/>
    <pivotTable tabId="14" name="PivotTable21"/>
    <pivotTable tabId="14" name="PivotTable9"/>
  </pivotTables>
  <data>
    <tabular pivotCacheId="1245201269">
      <items count="3">
        <i x="0"/>
        <i x="1"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2B3F0744-9D2B-4D63-A929-53B7A99C47BE}" sourceName="منصة البيع ">
  <pivotTables>
    <pivotTable tabId="14" name="PivotTable12"/>
    <pivotTable tabId="14" name="PivotTable10"/>
    <pivotTable tabId="14" name="PivotTable11"/>
    <pivotTable tabId="14" name="PivotTable13"/>
    <pivotTable tabId="14" name="PivotTable15"/>
    <pivotTable tabId="14" name="PivotTable16"/>
    <pivotTable tabId="14" name="PivotTable17"/>
    <pivotTable tabId="14" name="PivotTable18"/>
    <pivotTable tabId="14" name="PivotTable19"/>
    <pivotTable tabId="14" name="PivotTable2"/>
    <pivotTable tabId="14" name="PivotTable20"/>
    <pivotTable tabId="14" name="PivotTable21"/>
    <pivotTable tabId="14" name="PivotTable9"/>
  </pivotTables>
  <data>
    <tabular pivotCacheId="1245201269">
      <items count="8">
        <i x="4"/>
        <i x="3"/>
        <i x="1" s="1"/>
        <i x="5" nd="1"/>
        <i x="2" nd="1"/>
        <i x="7" nd="1"/>
        <i x="6"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عميل" xr10:uid="{AC490371-D1D2-473D-BEDB-804F859A3667}" cache="Slicer_نوع_العميل" caption="نوع العميل" style="SlicerStyleDark5 2" rowHeight="241300"/>
  <slicer name="الحالة" xr10:uid="{23B8BCB7-F9B1-4278-ADB8-DE404493A266}" cache="Slicer_الحالة" caption="الحالة" style="SlicerStyleDark5 2" rowHeight="241300"/>
  <slicer name="منصة البيع " xr10:uid="{82D2DF28-B4C6-4C07-AA46-678AD257DF14}" cache="Slicer_منصة_البيع" caption="منصة البيع " style="SlicerStyleDark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6C1D2-80FF-46E1-A2F5-3DD979AD5284}" name="MISUO" displayName="MISUO" ref="A1:X127" totalsRowShown="0" headerRowDxfId="721" dataDxfId="719" headerRowBorderDxfId="720">
  <autoFilter ref="A1:X127" xr:uid="{D2A6C1D2-80FF-46E1-A2F5-3DD979AD5284}">
    <filterColumn colId="23">
      <filters>
        <filter val="تم التسليم"/>
      </filters>
    </filterColumn>
  </autoFilter>
  <tableColumns count="24">
    <tableColumn id="1" xr3:uid="{A9539485-9CA5-43AA-A486-83A7E47A9565}" name="أسم العميل" dataDxfId="718"/>
    <tableColumn id="2" xr3:uid="{3CE60F24-83C5-45E3-9781-0FEA31EF8E75}" name="نوع العميل" dataDxfId="717"/>
    <tableColumn id="3" xr3:uid="{DAF59AD1-7723-4381-971A-13CB472B7954}" name="العنوان"/>
    <tableColumn id="4" xr3:uid="{24517467-8EDE-45A2-8EFB-388E229F4197}" name="المحافظة" dataDxfId="716"/>
    <tableColumn id="5" xr3:uid="{F93FA6F3-71F3-4375-99D2-DC7EAAC5DC16}" name="منصة البيع " dataDxfId="715"/>
    <tableColumn id="6" xr3:uid="{B34ED434-829A-4A39-B212-AF2C05C0ABCF}" name="نوع المنتج" dataDxfId="714"/>
    <tableColumn id="7" xr3:uid="{5C81CF75-B872-4177-9099-CA32726DA326}" name="تصنيف المنتج" dataDxfId="713"/>
    <tableColumn id="8" xr3:uid="{4D16C7F3-1B0F-4D39-B129-8C7E35E2A0BF}" name="الاسم"/>
    <tableColumn id="9" xr3:uid="{89812F09-1BCF-4FA0-A1C3-88EF0A068466}" name="اللون المعتمد"/>
    <tableColumn id="10" xr3:uid="{C9DF59AD-6503-4045-B930-1E5CD9EB7AE7}" name="المقاس" dataDxfId="712"/>
    <tableColumn id="11" xr3:uid="{09BE4E6C-60DA-46EF-AE5F-A52A5F28DF2D}" name="المنتج"/>
    <tableColumn id="12" xr3:uid="{4B3F0C7F-31EB-45D0-8FE4-F4D67AEC814B}" name="الصنف"/>
    <tableColumn id="13" xr3:uid="{A17E1DF5-5E0F-4ACF-94F0-DF3A647B38A6}" name="الكمية"/>
    <tableColumn id="14" xr3:uid="{85FA0EDA-74AE-415E-9713-9A721678A89C}" name="نوع الصنف"/>
    <tableColumn id="15" xr3:uid="{FB3E6E7C-94D1-45FC-9F06-E95C9EA9AA3D}" name="سعر البيع " dataDxfId="711" dataCellStyle="Currency"/>
    <tableColumn id="22" xr3:uid="{60B37F82-A80A-47DB-BF97-BC915915A9F1}" name="إجمالي البيع" dataDxfId="710" dataCellStyle="Currency">
      <calculatedColumnFormula>MISUO[[#This Row],[الكمية]]*MISUO[[#This Row],[سعر البيع ]]</calculatedColumnFormula>
    </tableColumn>
    <tableColumn id="23" xr3:uid="{43F53CBA-EFF3-452E-A81E-440181F066E1}" name="صافي المبيعات" dataDxfId="709" dataCellStyle="Currency">
      <calculatedColumnFormula>IF(MISUO[[#This Row],[الحالة]]="تم التسليم",MISUO[[#This Row],[إجمالي البيع]],IF(MISUO[[#This Row],[الحالة]]="مرتجع",-MISUO[[#This Row],[إجمالي البيع]],0))</calculatedColumnFormula>
    </tableColumn>
    <tableColumn id="16" xr3:uid="{1F7CB428-BFE4-46AA-A730-42BAFE532A4F}" name="طريقه الدفع " dataDxfId="708" dataCellStyle="Comma"/>
    <tableColumn id="17" xr3:uid="{AE93ED63-9FEB-4A28-9C53-78ADC7289468}" name="ميعاد الطلب" dataDxfId="707"/>
    <tableColumn id="18" xr3:uid="{F6A3EE88-543C-46CD-98D6-927DD7CB7889}" name="ميعاد التسليم" dataDxfId="706"/>
    <tableColumn id="19" xr3:uid="{148EF852-6184-4970-B6B8-3E4EB9AF0972}" name="تاريخ التسليم" dataDxfId="705"/>
    <tableColumn id="24" xr3:uid="{F7CFD194-59BC-4FD2-9C23-B9D54259165A}" name="التسليم في الموعد" dataDxfId="704">
      <calculatedColumnFormula>IF(OR(MISUO[[#This Row],[الحالة]]="مرفوض",MISUO[[#This Row],[الحالة]]="مرتجع"),"لم يتم",
IF(MISUO[[#This Row],[تاريخ التسليم]]&lt;=MISUO[[#This Row],[ميعاد التسليم]],"في الموعد","متأخر"))</calculatedColumnFormula>
    </tableColumn>
    <tableColumn id="20" xr3:uid="{6F70949F-8F69-46B3-86F2-E37F385EE4F6}" name="المسئول عن التسليم"/>
    <tableColumn id="21" xr3:uid="{6D9C08C1-850B-415F-BB87-5C88BC06491C}" name="الحالة" dataDxfId="70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4580-02B6-46C1-BE7D-BAB110AF0287}">
  <dimension ref="A1:U127"/>
  <sheetViews>
    <sheetView rightToLeft="1" topLeftCell="B67" workbookViewId="0">
      <selection activeCell="E88" sqref="E88"/>
    </sheetView>
  </sheetViews>
  <sheetFormatPr defaultRowHeight="15" x14ac:dyDescent="0.25"/>
  <cols>
    <col min="5" max="5" width="31" bestFit="1" customWidth="1"/>
    <col min="6" max="6" width="23.140625" bestFit="1" customWidth="1"/>
    <col min="12" max="12" width="10.85546875" bestFit="1" customWidth="1"/>
    <col min="17" max="17" width="10.85546875" bestFit="1" customWidth="1"/>
    <col min="18" max="18" width="11.7109375" bestFit="1" customWidth="1"/>
    <col min="19" max="19" width="24.5703125" bestFit="1" customWidth="1"/>
  </cols>
  <sheetData>
    <row r="1" spans="1:21" ht="15.75" x14ac:dyDescent="0.25">
      <c r="A1" s="5" t="s">
        <v>5</v>
      </c>
      <c r="B1" s="5" t="s">
        <v>181</v>
      </c>
      <c r="C1" s="5" t="s">
        <v>182</v>
      </c>
      <c r="D1" s="5" t="s">
        <v>0</v>
      </c>
      <c r="E1" s="5" t="s">
        <v>1</v>
      </c>
      <c r="F1" s="5" t="s">
        <v>6</v>
      </c>
      <c r="G1" s="5" t="s">
        <v>7</v>
      </c>
      <c r="H1" s="5"/>
      <c r="I1" s="5"/>
      <c r="J1" s="5" t="s">
        <v>174</v>
      </c>
      <c r="K1" s="5" t="s">
        <v>175</v>
      </c>
      <c r="L1" s="5" t="s">
        <v>179</v>
      </c>
      <c r="M1" s="5" t="s">
        <v>180</v>
      </c>
      <c r="N1" s="8" t="s">
        <v>2</v>
      </c>
      <c r="O1" s="5" t="s">
        <v>9</v>
      </c>
      <c r="P1" s="6" t="s">
        <v>10</v>
      </c>
      <c r="Q1" s="5" t="s">
        <v>12</v>
      </c>
      <c r="R1" s="5" t="s">
        <v>11</v>
      </c>
      <c r="S1" s="5" t="s">
        <v>3</v>
      </c>
      <c r="T1" s="5" t="s">
        <v>4</v>
      </c>
      <c r="U1" s="7" t="s">
        <v>190</v>
      </c>
    </row>
    <row r="2" spans="1:21" x14ac:dyDescent="0.25">
      <c r="A2" s="23">
        <v>1</v>
      </c>
      <c r="B2" s="23"/>
      <c r="C2" s="23"/>
      <c r="D2" s="23" t="s">
        <v>13</v>
      </c>
      <c r="E2" s="23" t="s">
        <v>14</v>
      </c>
      <c r="F2" s="23"/>
      <c r="G2" s="23" t="s">
        <v>8</v>
      </c>
      <c r="H2" s="23" t="s">
        <v>150</v>
      </c>
      <c r="I2" s="23" t="s">
        <v>151</v>
      </c>
      <c r="J2" s="23"/>
      <c r="K2" s="23"/>
      <c r="L2" s="23"/>
      <c r="M2" s="23"/>
      <c r="N2" s="24" t="s">
        <v>15</v>
      </c>
      <c r="O2" s="23">
        <v>10160</v>
      </c>
      <c r="P2" s="25" t="s">
        <v>16</v>
      </c>
      <c r="Q2" s="23" t="s">
        <v>17</v>
      </c>
      <c r="R2" s="23" t="s">
        <v>18</v>
      </c>
      <c r="S2" s="26">
        <v>45514</v>
      </c>
      <c r="T2" s="23" t="s">
        <v>28</v>
      </c>
      <c r="U2" s="23" t="s">
        <v>191</v>
      </c>
    </row>
    <row r="3" spans="1:21" x14ac:dyDescent="0.25">
      <c r="A3" s="24">
        <v>2</v>
      </c>
      <c r="B3" s="24"/>
      <c r="C3" s="24"/>
      <c r="D3" s="24" t="s">
        <v>18</v>
      </c>
      <c r="E3" s="24" t="s">
        <v>19</v>
      </c>
      <c r="F3" s="24"/>
      <c r="G3" s="24" t="s">
        <v>8</v>
      </c>
      <c r="H3" s="24" t="s">
        <v>150</v>
      </c>
      <c r="I3" s="24" t="s">
        <v>151</v>
      </c>
      <c r="J3" s="24"/>
      <c r="K3" s="24"/>
      <c r="L3" s="24"/>
      <c r="M3" s="24"/>
      <c r="N3" s="24" t="s">
        <v>20</v>
      </c>
      <c r="O3" s="24">
        <v>10160</v>
      </c>
      <c r="P3" s="27">
        <v>9749</v>
      </c>
      <c r="Q3" s="24" t="s">
        <v>21</v>
      </c>
      <c r="R3" s="24" t="s">
        <v>18</v>
      </c>
      <c r="S3" s="28">
        <v>45515</v>
      </c>
      <c r="T3" s="24" t="s">
        <v>28</v>
      </c>
      <c r="U3" s="24" t="s">
        <v>191</v>
      </c>
    </row>
    <row r="4" spans="1:21" x14ac:dyDescent="0.25">
      <c r="A4" s="13">
        <v>3</v>
      </c>
      <c r="B4" s="13"/>
      <c r="C4" s="13"/>
      <c r="D4" s="13" t="s">
        <v>22</v>
      </c>
      <c r="E4" s="13" t="s">
        <v>23</v>
      </c>
      <c r="F4" s="13"/>
      <c r="G4" s="13" t="s">
        <v>8</v>
      </c>
      <c r="H4" s="13" t="s">
        <v>150</v>
      </c>
      <c r="I4" s="13" t="s">
        <v>165</v>
      </c>
      <c r="J4" s="14" t="s">
        <v>155</v>
      </c>
      <c r="K4" s="13">
        <v>90</v>
      </c>
      <c r="L4" s="13" t="s">
        <v>170</v>
      </c>
      <c r="M4" s="13"/>
      <c r="N4" s="13" t="s">
        <v>24</v>
      </c>
      <c r="O4" s="13">
        <v>11455</v>
      </c>
      <c r="P4" s="15">
        <v>10067.68</v>
      </c>
      <c r="Q4" s="13" t="s">
        <v>17</v>
      </c>
      <c r="R4" s="13" t="s">
        <v>26</v>
      </c>
      <c r="S4" s="13"/>
      <c r="T4" s="13" t="s">
        <v>37</v>
      </c>
      <c r="U4" s="13" t="s">
        <v>192</v>
      </c>
    </row>
    <row r="5" spans="1:21" x14ac:dyDescent="0.25">
      <c r="A5" s="24">
        <v>4</v>
      </c>
      <c r="B5" s="24"/>
      <c r="C5" s="24"/>
      <c r="D5" s="24" t="s">
        <v>25</v>
      </c>
      <c r="E5" s="24" t="s">
        <v>26</v>
      </c>
      <c r="F5" s="24"/>
      <c r="G5" s="24" t="s">
        <v>8</v>
      </c>
      <c r="H5" s="24" t="s">
        <v>157</v>
      </c>
      <c r="I5" s="24"/>
      <c r="J5" s="24"/>
      <c r="K5" s="24"/>
      <c r="L5" s="24"/>
      <c r="M5" s="24"/>
      <c r="N5" s="24" t="s">
        <v>27</v>
      </c>
      <c r="O5" s="24">
        <v>8642</v>
      </c>
      <c r="P5" s="27" t="s">
        <v>16</v>
      </c>
      <c r="Q5" s="29">
        <v>45529</v>
      </c>
      <c r="R5" s="29">
        <v>45542</v>
      </c>
      <c r="S5" s="29">
        <v>45531</v>
      </c>
      <c r="T5" s="24" t="s">
        <v>28</v>
      </c>
      <c r="U5" s="24" t="s">
        <v>191</v>
      </c>
    </row>
    <row r="6" spans="1:21" x14ac:dyDescent="0.25">
      <c r="A6" s="13">
        <v>5</v>
      </c>
      <c r="B6" s="13"/>
      <c r="C6" s="13"/>
      <c r="D6" s="13" t="s">
        <v>29</v>
      </c>
      <c r="E6" s="13" t="s">
        <v>23</v>
      </c>
      <c r="F6" s="13"/>
      <c r="G6" s="13" t="s">
        <v>8</v>
      </c>
      <c r="H6" s="13" t="s">
        <v>150</v>
      </c>
      <c r="I6" s="13" t="s">
        <v>165</v>
      </c>
      <c r="J6" s="13" t="s">
        <v>152</v>
      </c>
      <c r="K6" s="13">
        <v>100</v>
      </c>
      <c r="L6" s="13" t="s">
        <v>172</v>
      </c>
      <c r="M6" s="13"/>
      <c r="N6" s="13" t="s">
        <v>30</v>
      </c>
      <c r="O6" s="13">
        <v>12833</v>
      </c>
      <c r="P6" s="15">
        <v>12974.22</v>
      </c>
      <c r="Q6" s="30">
        <v>45520</v>
      </c>
      <c r="R6" s="30">
        <v>45535</v>
      </c>
      <c r="S6" s="30"/>
      <c r="T6" s="13" t="s">
        <v>37</v>
      </c>
      <c r="U6" s="13" t="s">
        <v>192</v>
      </c>
    </row>
    <row r="7" spans="1:21" x14ac:dyDescent="0.25">
      <c r="A7" s="24">
        <v>6</v>
      </c>
      <c r="B7" s="24"/>
      <c r="C7" s="24"/>
      <c r="D7" s="24" t="s">
        <v>31</v>
      </c>
      <c r="E7" s="24"/>
      <c r="F7" s="24"/>
      <c r="G7" s="24" t="s">
        <v>31</v>
      </c>
      <c r="H7" s="24" t="s">
        <v>166</v>
      </c>
      <c r="I7" s="24" t="s">
        <v>164</v>
      </c>
      <c r="J7" s="24"/>
      <c r="K7" s="24"/>
      <c r="L7" s="24"/>
      <c r="M7" s="24"/>
      <c r="N7" s="24" t="s">
        <v>32</v>
      </c>
      <c r="O7" s="24">
        <v>14550</v>
      </c>
      <c r="P7" s="27" t="s">
        <v>16</v>
      </c>
      <c r="Q7" s="29">
        <v>45518</v>
      </c>
      <c r="R7" s="29">
        <v>45538</v>
      </c>
      <c r="S7" s="29">
        <v>45540</v>
      </c>
      <c r="T7" s="24" t="s">
        <v>28</v>
      </c>
      <c r="U7" s="24" t="s">
        <v>191</v>
      </c>
    </row>
    <row r="8" spans="1:21" x14ac:dyDescent="0.25">
      <c r="A8" s="24">
        <v>7</v>
      </c>
      <c r="B8" s="24"/>
      <c r="C8" s="24"/>
      <c r="D8" s="24" t="s">
        <v>33</v>
      </c>
      <c r="E8" s="24" t="s">
        <v>34</v>
      </c>
      <c r="F8" s="24"/>
      <c r="G8" s="24" t="s">
        <v>35</v>
      </c>
      <c r="H8" s="24" t="s">
        <v>166</v>
      </c>
      <c r="I8" s="24" t="s">
        <v>164</v>
      </c>
      <c r="J8" s="24"/>
      <c r="K8" s="24"/>
      <c r="L8" s="24"/>
      <c r="M8" s="24"/>
      <c r="N8" s="24" t="s">
        <v>32</v>
      </c>
      <c r="O8" s="24">
        <v>12000</v>
      </c>
      <c r="P8" s="27">
        <v>12000</v>
      </c>
      <c r="Q8" s="29">
        <v>45521</v>
      </c>
      <c r="R8" s="29">
        <v>45524</v>
      </c>
      <c r="S8" s="29">
        <v>45523</v>
      </c>
      <c r="T8" s="24" t="s">
        <v>36</v>
      </c>
      <c r="U8" s="24" t="s">
        <v>191</v>
      </c>
    </row>
    <row r="9" spans="1:21" x14ac:dyDescent="0.25">
      <c r="A9" s="24">
        <v>8</v>
      </c>
      <c r="B9" s="24"/>
      <c r="C9" s="24"/>
      <c r="D9" s="24" t="s">
        <v>38</v>
      </c>
      <c r="E9" s="24" t="s">
        <v>39</v>
      </c>
      <c r="F9" s="24"/>
      <c r="G9" s="24" t="s">
        <v>8</v>
      </c>
      <c r="H9" s="24" t="s">
        <v>150</v>
      </c>
      <c r="I9" s="24" t="s">
        <v>153</v>
      </c>
      <c r="J9" s="24"/>
      <c r="K9" s="24"/>
      <c r="L9" s="24"/>
      <c r="M9" s="24"/>
      <c r="N9" s="24" t="s">
        <v>40</v>
      </c>
      <c r="O9" s="24">
        <v>7228</v>
      </c>
      <c r="P9" s="27" t="s">
        <v>16</v>
      </c>
      <c r="Q9" s="29">
        <v>45529</v>
      </c>
      <c r="R9" s="29">
        <v>45538</v>
      </c>
      <c r="S9" s="29">
        <v>45545</v>
      </c>
      <c r="T9" s="24" t="s">
        <v>28</v>
      </c>
      <c r="U9" s="24" t="s">
        <v>191</v>
      </c>
    </row>
    <row r="10" spans="1:21" x14ac:dyDescent="0.25">
      <c r="A10" s="24">
        <v>9</v>
      </c>
      <c r="B10" s="24"/>
      <c r="C10" s="24"/>
      <c r="D10" s="24" t="s">
        <v>41</v>
      </c>
      <c r="E10" s="24" t="s">
        <v>42</v>
      </c>
      <c r="F10" s="24"/>
      <c r="G10" s="24" t="s">
        <v>43</v>
      </c>
      <c r="H10" s="24" t="s">
        <v>158</v>
      </c>
      <c r="I10" s="24" t="s">
        <v>160</v>
      </c>
      <c r="J10" s="24"/>
      <c r="K10" s="24"/>
      <c r="L10" s="24"/>
      <c r="M10" s="24"/>
      <c r="N10" s="24" t="s">
        <v>44</v>
      </c>
      <c r="O10" s="24">
        <v>22000</v>
      </c>
      <c r="P10" s="27">
        <v>22000</v>
      </c>
      <c r="Q10" s="29">
        <v>45523</v>
      </c>
      <c r="R10" s="29">
        <v>45536</v>
      </c>
      <c r="S10" s="33">
        <v>45552</v>
      </c>
      <c r="T10" s="24"/>
      <c r="U10" s="24" t="s">
        <v>191</v>
      </c>
    </row>
    <row r="11" spans="1:21" x14ac:dyDescent="0.25">
      <c r="A11" s="10">
        <v>10</v>
      </c>
      <c r="B11" s="10"/>
      <c r="C11" s="10"/>
      <c r="D11" s="10" t="s">
        <v>41</v>
      </c>
      <c r="E11" s="10" t="s">
        <v>42</v>
      </c>
      <c r="F11" s="10"/>
      <c r="G11" s="10" t="s">
        <v>41</v>
      </c>
      <c r="H11" s="10" t="s">
        <v>161</v>
      </c>
      <c r="I11" s="10" t="s">
        <v>159</v>
      </c>
      <c r="J11" s="10"/>
      <c r="K11" s="10"/>
      <c r="L11" s="10"/>
      <c r="M11" s="10"/>
      <c r="N11" s="10" t="s">
        <v>45</v>
      </c>
      <c r="O11" s="10">
        <v>16000</v>
      </c>
      <c r="P11" s="12">
        <v>16000</v>
      </c>
      <c r="Q11" s="16"/>
      <c r="R11" s="16"/>
      <c r="S11" s="16"/>
      <c r="T11" s="10" t="s">
        <v>109</v>
      </c>
      <c r="U11" s="10" t="s">
        <v>193</v>
      </c>
    </row>
    <row r="12" spans="1:21" x14ac:dyDescent="0.25">
      <c r="A12" s="24">
        <v>11</v>
      </c>
      <c r="B12" s="24"/>
      <c r="C12" s="24"/>
      <c r="D12" s="24" t="s">
        <v>41</v>
      </c>
      <c r="E12" s="24" t="s">
        <v>46</v>
      </c>
      <c r="F12" s="24"/>
      <c r="G12" s="24" t="s">
        <v>43</v>
      </c>
      <c r="H12" s="24" t="s">
        <v>161</v>
      </c>
      <c r="I12" s="24" t="s">
        <v>159</v>
      </c>
      <c r="J12" s="24"/>
      <c r="K12" s="24"/>
      <c r="L12" s="24"/>
      <c r="M12" s="24"/>
      <c r="N12" s="24" t="s">
        <v>47</v>
      </c>
      <c r="O12" s="24">
        <v>6000</v>
      </c>
      <c r="P12" s="27">
        <v>12000</v>
      </c>
      <c r="Q12" s="29">
        <v>45529</v>
      </c>
      <c r="R12" s="29">
        <v>45550</v>
      </c>
      <c r="S12" s="33">
        <v>45552</v>
      </c>
      <c r="T12" s="31" t="s">
        <v>199</v>
      </c>
      <c r="U12" s="24" t="s">
        <v>191</v>
      </c>
    </row>
    <row r="13" spans="1:21" x14ac:dyDescent="0.25">
      <c r="A13" s="24">
        <v>12</v>
      </c>
      <c r="B13" s="24"/>
      <c r="C13" s="24"/>
      <c r="D13" s="24" t="s">
        <v>41</v>
      </c>
      <c r="E13" s="24" t="s">
        <v>46</v>
      </c>
      <c r="F13" s="24"/>
      <c r="G13" s="24" t="s">
        <v>43</v>
      </c>
      <c r="H13" s="24" t="s">
        <v>161</v>
      </c>
      <c r="I13" s="24" t="s">
        <v>159</v>
      </c>
      <c r="J13" s="24"/>
      <c r="K13" s="24"/>
      <c r="L13" s="24"/>
      <c r="M13" s="24"/>
      <c r="N13" s="24" t="s">
        <v>47</v>
      </c>
      <c r="O13" s="24">
        <v>6000</v>
      </c>
      <c r="P13" s="27">
        <v>12000</v>
      </c>
      <c r="Q13" s="29">
        <v>45529</v>
      </c>
      <c r="R13" s="29">
        <v>45550</v>
      </c>
      <c r="S13" s="33">
        <v>45552</v>
      </c>
      <c r="T13" s="31" t="s">
        <v>199</v>
      </c>
      <c r="U13" s="24" t="s">
        <v>191</v>
      </c>
    </row>
    <row r="14" spans="1:21" x14ac:dyDescent="0.25">
      <c r="A14" s="24">
        <v>13</v>
      </c>
      <c r="B14" s="24"/>
      <c r="C14" s="24"/>
      <c r="D14" s="24" t="s">
        <v>48</v>
      </c>
      <c r="E14" s="24" t="s">
        <v>49</v>
      </c>
      <c r="F14" s="24"/>
      <c r="G14" s="24" t="s">
        <v>8</v>
      </c>
      <c r="H14" s="24" t="s">
        <v>150</v>
      </c>
      <c r="I14" s="24" t="s">
        <v>165</v>
      </c>
      <c r="J14" s="24" t="s">
        <v>152</v>
      </c>
      <c r="K14" s="24">
        <v>80</v>
      </c>
      <c r="L14" s="24" t="s">
        <v>167</v>
      </c>
      <c r="M14" s="24"/>
      <c r="N14" s="24" t="s">
        <v>50</v>
      </c>
      <c r="O14" s="24">
        <v>10499</v>
      </c>
      <c r="P14" s="27">
        <v>8924</v>
      </c>
      <c r="Q14" s="29">
        <v>45536</v>
      </c>
      <c r="R14" s="29">
        <v>45551</v>
      </c>
      <c r="S14" s="29">
        <v>45543</v>
      </c>
      <c r="T14" s="24" t="s">
        <v>28</v>
      </c>
      <c r="U14" s="24" t="s">
        <v>191</v>
      </c>
    </row>
    <row r="15" spans="1:21" x14ac:dyDescent="0.25">
      <c r="A15" s="11">
        <v>14</v>
      </c>
      <c r="B15" s="17">
        <v>1404561</v>
      </c>
      <c r="C15" s="17">
        <v>1199284</v>
      </c>
      <c r="D15" s="11" t="s">
        <v>65</v>
      </c>
      <c r="E15" s="11" t="s">
        <v>39</v>
      </c>
      <c r="F15" s="11"/>
      <c r="G15" s="11" t="s">
        <v>8</v>
      </c>
      <c r="H15" s="11" t="s">
        <v>150</v>
      </c>
      <c r="I15" s="11" t="s">
        <v>153</v>
      </c>
      <c r="J15" s="11" t="s">
        <v>152</v>
      </c>
      <c r="K15" s="11">
        <v>80</v>
      </c>
      <c r="L15" s="11" t="s">
        <v>167</v>
      </c>
      <c r="M15" s="11"/>
      <c r="N15" s="18" t="s">
        <v>66</v>
      </c>
      <c r="O15" s="11">
        <v>7295</v>
      </c>
      <c r="P15" s="19">
        <v>5895</v>
      </c>
      <c r="Q15" s="20">
        <v>45540</v>
      </c>
      <c r="R15" s="20">
        <v>45549</v>
      </c>
      <c r="S15" s="20"/>
      <c r="T15" s="11"/>
      <c r="U15" s="11" t="s">
        <v>193</v>
      </c>
    </row>
    <row r="16" spans="1:21" x14ac:dyDescent="0.25">
      <c r="A16" s="14">
        <v>15</v>
      </c>
      <c r="B16" s="40">
        <v>1401137</v>
      </c>
      <c r="C16" s="40">
        <v>1197500</v>
      </c>
      <c r="D16" s="14" t="s">
        <v>61</v>
      </c>
      <c r="E16" s="14" t="s">
        <v>62</v>
      </c>
      <c r="F16" s="14"/>
      <c r="G16" s="14" t="s">
        <v>8</v>
      </c>
      <c r="H16" s="14" t="s">
        <v>157</v>
      </c>
      <c r="I16" s="14" t="s">
        <v>187</v>
      </c>
      <c r="J16" s="14"/>
      <c r="K16" s="14"/>
      <c r="L16" s="14"/>
      <c r="M16" s="14"/>
      <c r="N16" s="41" t="s">
        <v>63</v>
      </c>
      <c r="O16" s="14">
        <v>7849</v>
      </c>
      <c r="P16" s="42" t="s">
        <v>16</v>
      </c>
      <c r="Q16" s="43">
        <v>45539</v>
      </c>
      <c r="R16" s="43">
        <v>45551</v>
      </c>
      <c r="S16" s="43">
        <v>45560</v>
      </c>
      <c r="T16" s="14" t="s">
        <v>28</v>
      </c>
      <c r="U16" s="14" t="s">
        <v>208</v>
      </c>
    </row>
    <row r="17" spans="1:21" x14ac:dyDescent="0.25">
      <c r="A17" s="23">
        <v>16</v>
      </c>
      <c r="B17" s="23"/>
      <c r="C17" s="23"/>
      <c r="D17" s="23" t="s">
        <v>54</v>
      </c>
      <c r="E17" s="23" t="s">
        <v>55</v>
      </c>
      <c r="F17" s="23"/>
      <c r="G17" s="23" t="s">
        <v>56</v>
      </c>
      <c r="H17" s="32" t="s">
        <v>150</v>
      </c>
      <c r="I17" s="23" t="s">
        <v>165</v>
      </c>
      <c r="J17" s="24" t="s">
        <v>155</v>
      </c>
      <c r="K17" s="24">
        <v>120</v>
      </c>
      <c r="L17" s="24" t="s">
        <v>168</v>
      </c>
      <c r="M17" s="24"/>
      <c r="N17" s="24" t="s">
        <v>57</v>
      </c>
      <c r="O17" s="24">
        <v>6180</v>
      </c>
      <c r="P17" s="25">
        <v>9700</v>
      </c>
      <c r="Q17" s="33">
        <v>45538</v>
      </c>
      <c r="R17" s="33">
        <v>45551</v>
      </c>
      <c r="S17" s="33">
        <v>45550</v>
      </c>
      <c r="T17" s="31" t="s">
        <v>199</v>
      </c>
      <c r="U17" s="23" t="s">
        <v>191</v>
      </c>
    </row>
    <row r="18" spans="1:21" x14ac:dyDescent="0.25">
      <c r="A18" s="24">
        <v>17</v>
      </c>
      <c r="B18" s="32"/>
      <c r="C18" s="32"/>
      <c r="D18" s="24" t="s">
        <v>54</v>
      </c>
      <c r="E18" s="24" t="s">
        <v>55</v>
      </c>
      <c r="F18" s="24"/>
      <c r="G18" s="24" t="s">
        <v>56</v>
      </c>
      <c r="H18" s="32" t="s">
        <v>150</v>
      </c>
      <c r="I18" s="24" t="s">
        <v>165</v>
      </c>
      <c r="J18" s="31" t="s">
        <v>155</v>
      </c>
      <c r="K18" s="24">
        <v>120</v>
      </c>
      <c r="L18" s="24" t="s">
        <v>168</v>
      </c>
      <c r="M18" s="24"/>
      <c r="N18" s="24" t="s">
        <v>57</v>
      </c>
      <c r="O18" s="24">
        <v>6180</v>
      </c>
      <c r="P18" s="27">
        <v>9700</v>
      </c>
      <c r="Q18" s="29">
        <v>45538</v>
      </c>
      <c r="R18" s="29">
        <v>45551</v>
      </c>
      <c r="S18" s="33">
        <v>45550</v>
      </c>
      <c r="T18" s="31" t="s">
        <v>199</v>
      </c>
      <c r="U18" s="24" t="s">
        <v>191</v>
      </c>
    </row>
    <row r="19" spans="1:21" x14ac:dyDescent="0.25">
      <c r="A19" s="10">
        <v>18</v>
      </c>
      <c r="B19" s="21">
        <v>1400149</v>
      </c>
      <c r="C19" s="21">
        <v>1196947</v>
      </c>
      <c r="D19" s="10" t="s">
        <v>58</v>
      </c>
      <c r="E19" s="10" t="s">
        <v>59</v>
      </c>
      <c r="F19" s="10"/>
      <c r="G19" s="10" t="s">
        <v>8</v>
      </c>
      <c r="H19" s="10" t="s">
        <v>150</v>
      </c>
      <c r="I19" s="10" t="s">
        <v>165</v>
      </c>
      <c r="J19" s="10" t="s">
        <v>154</v>
      </c>
      <c r="K19" s="10">
        <v>80</v>
      </c>
      <c r="L19" s="10" t="s">
        <v>167</v>
      </c>
      <c r="M19" s="10"/>
      <c r="N19" s="10" t="s">
        <v>60</v>
      </c>
      <c r="O19" s="10">
        <v>11199</v>
      </c>
      <c r="P19" s="12">
        <v>11310</v>
      </c>
      <c r="Q19" s="16">
        <v>45539</v>
      </c>
      <c r="R19" s="16">
        <v>45553</v>
      </c>
      <c r="S19" s="16"/>
      <c r="T19" s="10"/>
      <c r="U19" s="10" t="s">
        <v>193</v>
      </c>
    </row>
    <row r="20" spans="1:21" x14ac:dyDescent="0.25">
      <c r="A20" s="31">
        <v>19</v>
      </c>
      <c r="B20" s="34">
        <v>1408099</v>
      </c>
      <c r="C20" s="34">
        <v>1201057</v>
      </c>
      <c r="D20" s="31" t="s">
        <v>33</v>
      </c>
      <c r="E20" s="31" t="s">
        <v>67</v>
      </c>
      <c r="F20" s="31"/>
      <c r="G20" s="31" t="s">
        <v>8</v>
      </c>
      <c r="H20" s="31" t="s">
        <v>150</v>
      </c>
      <c r="I20" s="31" t="s">
        <v>153</v>
      </c>
      <c r="J20" s="31" t="s">
        <v>177</v>
      </c>
      <c r="K20" s="31">
        <v>80</v>
      </c>
      <c r="L20" s="31" t="s">
        <v>167</v>
      </c>
      <c r="M20" s="31"/>
      <c r="N20" s="35" t="s">
        <v>68</v>
      </c>
      <c r="O20" s="31">
        <v>7987</v>
      </c>
      <c r="P20" s="36" t="s">
        <v>16</v>
      </c>
      <c r="Q20" s="37">
        <v>45541</v>
      </c>
      <c r="R20" s="37">
        <v>45551</v>
      </c>
      <c r="S20" s="37">
        <v>45556</v>
      </c>
      <c r="T20" s="31" t="s">
        <v>199</v>
      </c>
      <c r="U20" s="31" t="s">
        <v>198</v>
      </c>
    </row>
    <row r="21" spans="1:21" x14ac:dyDescent="0.25">
      <c r="A21" s="23">
        <v>20</v>
      </c>
      <c r="B21" s="23"/>
      <c r="C21" s="23"/>
      <c r="D21" s="23" t="s">
        <v>43</v>
      </c>
      <c r="E21" s="23" t="s">
        <v>42</v>
      </c>
      <c r="F21" s="23"/>
      <c r="G21" s="23" t="s">
        <v>43</v>
      </c>
      <c r="H21" s="23" t="s">
        <v>162</v>
      </c>
      <c r="I21" s="23" t="s">
        <v>163</v>
      </c>
      <c r="J21" s="23"/>
      <c r="K21" s="23"/>
      <c r="L21" s="23"/>
      <c r="M21" s="23"/>
      <c r="N21" s="24" t="s">
        <v>64</v>
      </c>
      <c r="O21" s="23">
        <v>9300</v>
      </c>
      <c r="P21" s="25">
        <v>9300</v>
      </c>
      <c r="Q21" s="33">
        <v>45539</v>
      </c>
      <c r="R21" s="33">
        <v>45550</v>
      </c>
      <c r="S21" s="33">
        <v>45552</v>
      </c>
      <c r="T21" s="31" t="s">
        <v>199</v>
      </c>
      <c r="U21" s="23" t="s">
        <v>191</v>
      </c>
    </row>
    <row r="22" spans="1:21" x14ac:dyDescent="0.25">
      <c r="A22" s="31">
        <v>21</v>
      </c>
      <c r="B22" s="34">
        <v>1408098</v>
      </c>
      <c r="C22" s="34">
        <v>1201057</v>
      </c>
      <c r="D22" s="31" t="s">
        <v>33</v>
      </c>
      <c r="E22" s="31" t="s">
        <v>67</v>
      </c>
      <c r="F22" s="31"/>
      <c r="G22" s="31" t="s">
        <v>8</v>
      </c>
      <c r="H22" s="31" t="s">
        <v>150</v>
      </c>
      <c r="I22" s="31" t="s">
        <v>153</v>
      </c>
      <c r="J22" s="31" t="s">
        <v>177</v>
      </c>
      <c r="K22" s="31">
        <v>80</v>
      </c>
      <c r="L22" s="31" t="s">
        <v>167</v>
      </c>
      <c r="M22" s="31"/>
      <c r="N22" s="35" t="s">
        <v>68</v>
      </c>
      <c r="O22" s="31">
        <v>7987</v>
      </c>
      <c r="P22" s="36" t="s">
        <v>16</v>
      </c>
      <c r="Q22" s="37">
        <v>45541</v>
      </c>
      <c r="R22" s="37">
        <v>45551</v>
      </c>
      <c r="S22" s="37">
        <v>45556</v>
      </c>
      <c r="T22" s="31" t="s">
        <v>199</v>
      </c>
      <c r="U22" s="31" t="s">
        <v>198</v>
      </c>
    </row>
    <row r="23" spans="1:21" x14ac:dyDescent="0.25">
      <c r="A23" s="31">
        <v>22</v>
      </c>
      <c r="B23" s="34">
        <v>1408100</v>
      </c>
      <c r="C23" s="34">
        <v>1201057</v>
      </c>
      <c r="D23" s="31" t="s">
        <v>33</v>
      </c>
      <c r="E23" s="31" t="s">
        <v>67</v>
      </c>
      <c r="F23" s="31"/>
      <c r="G23" s="31" t="s">
        <v>8</v>
      </c>
      <c r="H23" s="31" t="s">
        <v>150</v>
      </c>
      <c r="I23" s="31" t="s">
        <v>153</v>
      </c>
      <c r="J23" s="31" t="s">
        <v>177</v>
      </c>
      <c r="K23" s="31">
        <v>80</v>
      </c>
      <c r="L23" s="31" t="s">
        <v>167</v>
      </c>
      <c r="M23" s="31"/>
      <c r="N23" s="35" t="s">
        <v>68</v>
      </c>
      <c r="O23" s="31">
        <v>7987</v>
      </c>
      <c r="P23" s="36" t="s">
        <v>16</v>
      </c>
      <c r="Q23" s="37">
        <v>45541</v>
      </c>
      <c r="R23" s="37">
        <v>45551</v>
      </c>
      <c r="S23" s="37">
        <v>45556</v>
      </c>
      <c r="T23" s="31" t="s">
        <v>199</v>
      </c>
      <c r="U23" s="31" t="s">
        <v>198</v>
      </c>
    </row>
    <row r="24" spans="1:21" x14ac:dyDescent="0.25">
      <c r="A24" s="31">
        <v>23</v>
      </c>
      <c r="B24" s="34">
        <v>1408101</v>
      </c>
      <c r="C24" s="34">
        <v>1201057</v>
      </c>
      <c r="D24" s="31" t="s">
        <v>33</v>
      </c>
      <c r="E24" s="31" t="s">
        <v>67</v>
      </c>
      <c r="F24" s="31"/>
      <c r="G24" s="31" t="s">
        <v>8</v>
      </c>
      <c r="H24" s="31" t="s">
        <v>150</v>
      </c>
      <c r="I24" s="31" t="s">
        <v>153</v>
      </c>
      <c r="J24" s="31" t="s">
        <v>177</v>
      </c>
      <c r="K24" s="31">
        <v>80</v>
      </c>
      <c r="L24" s="31" t="s">
        <v>167</v>
      </c>
      <c r="M24" s="31"/>
      <c r="N24" s="35" t="s">
        <v>68</v>
      </c>
      <c r="O24" s="31">
        <v>7987</v>
      </c>
      <c r="P24" s="36" t="s">
        <v>16</v>
      </c>
      <c r="Q24" s="37">
        <v>45541</v>
      </c>
      <c r="R24" s="37">
        <v>45551</v>
      </c>
      <c r="S24" s="37">
        <v>45556</v>
      </c>
      <c r="T24" s="31" t="s">
        <v>199</v>
      </c>
      <c r="U24" s="31" t="s">
        <v>198</v>
      </c>
    </row>
    <row r="25" spans="1:21" x14ac:dyDescent="0.25">
      <c r="A25" s="11">
        <v>24</v>
      </c>
      <c r="B25" s="17">
        <v>1513856</v>
      </c>
      <c r="C25" s="17">
        <v>1231946</v>
      </c>
      <c r="D25" s="38" t="s">
        <v>106</v>
      </c>
      <c r="E25" s="38" t="s">
        <v>107</v>
      </c>
      <c r="F25" s="38"/>
      <c r="G25" s="11" t="s">
        <v>8</v>
      </c>
      <c r="H25" s="11" t="s">
        <v>157</v>
      </c>
      <c r="I25" s="11" t="s">
        <v>187</v>
      </c>
      <c r="J25" s="38"/>
      <c r="K25" s="38"/>
      <c r="L25" s="38"/>
      <c r="M25" s="38"/>
      <c r="N25" s="18" t="s">
        <v>63</v>
      </c>
      <c r="O25" s="38">
        <v>8849</v>
      </c>
      <c r="P25" s="60" t="s">
        <v>16</v>
      </c>
      <c r="Q25" s="39">
        <v>45538</v>
      </c>
      <c r="R25" s="39">
        <v>45581</v>
      </c>
      <c r="S25" s="39"/>
      <c r="T25" s="38"/>
      <c r="U25" s="10" t="s">
        <v>193</v>
      </c>
    </row>
    <row r="26" spans="1:21" x14ac:dyDescent="0.25">
      <c r="A26" s="31">
        <v>25</v>
      </c>
      <c r="B26" s="34">
        <v>1411691</v>
      </c>
      <c r="C26" s="34">
        <v>1202775</v>
      </c>
      <c r="D26" s="31" t="s">
        <v>69</v>
      </c>
      <c r="E26" s="31" t="s">
        <v>39</v>
      </c>
      <c r="F26" s="31"/>
      <c r="G26" s="31" t="s">
        <v>8</v>
      </c>
      <c r="H26" s="31" t="s">
        <v>150</v>
      </c>
      <c r="I26" s="31" t="s">
        <v>153</v>
      </c>
      <c r="J26" s="31" t="s">
        <v>156</v>
      </c>
      <c r="K26" s="31">
        <v>120</v>
      </c>
      <c r="L26" s="31" t="s">
        <v>167</v>
      </c>
      <c r="M26" s="31"/>
      <c r="N26" s="35" t="s">
        <v>70</v>
      </c>
      <c r="O26" s="31">
        <v>10987</v>
      </c>
      <c r="P26" s="36" t="s">
        <v>16</v>
      </c>
      <c r="Q26" s="37">
        <v>45544</v>
      </c>
      <c r="R26" s="37">
        <v>45552</v>
      </c>
      <c r="S26" s="37">
        <v>45556</v>
      </c>
      <c r="T26" s="31" t="s">
        <v>199</v>
      </c>
      <c r="U26" s="31" t="s">
        <v>191</v>
      </c>
    </row>
    <row r="27" spans="1:21" x14ac:dyDescent="0.25">
      <c r="A27" s="31">
        <v>26</v>
      </c>
      <c r="B27" s="31"/>
      <c r="C27" s="31"/>
      <c r="D27" s="31" t="s">
        <v>31</v>
      </c>
      <c r="E27" s="31"/>
      <c r="F27" s="31"/>
      <c r="G27" s="31" t="s">
        <v>31</v>
      </c>
      <c r="H27" s="31" t="s">
        <v>150</v>
      </c>
      <c r="I27" s="31" t="s">
        <v>165</v>
      </c>
      <c r="J27" s="31" t="s">
        <v>154</v>
      </c>
      <c r="K27" s="31">
        <v>100</v>
      </c>
      <c r="L27" s="31" t="s">
        <v>167</v>
      </c>
      <c r="M27" s="31"/>
      <c r="N27" s="35" t="s">
        <v>51</v>
      </c>
      <c r="O27" s="31">
        <v>9208</v>
      </c>
      <c r="P27" s="36">
        <v>5781.75</v>
      </c>
      <c r="Q27" s="37">
        <v>45536</v>
      </c>
      <c r="R27" s="37">
        <v>45554</v>
      </c>
      <c r="S27" s="37">
        <v>45556</v>
      </c>
      <c r="T27" s="31" t="s">
        <v>199</v>
      </c>
      <c r="U27" s="31" t="s">
        <v>198</v>
      </c>
    </row>
    <row r="28" spans="1:21" x14ac:dyDescent="0.25">
      <c r="A28" s="31">
        <v>27</v>
      </c>
      <c r="B28" s="31"/>
      <c r="C28" s="31"/>
      <c r="D28" s="31" t="s">
        <v>31</v>
      </c>
      <c r="E28" s="31"/>
      <c r="F28" s="31"/>
      <c r="G28" s="31" t="s">
        <v>52</v>
      </c>
      <c r="H28" s="31" t="s">
        <v>150</v>
      </c>
      <c r="I28" s="31" t="s">
        <v>165</v>
      </c>
      <c r="J28" s="31" t="s">
        <v>154</v>
      </c>
      <c r="K28" s="31">
        <v>100</v>
      </c>
      <c r="L28" s="31" t="s">
        <v>168</v>
      </c>
      <c r="M28" s="31"/>
      <c r="N28" s="35" t="s">
        <v>53</v>
      </c>
      <c r="O28" s="31">
        <v>9208</v>
      </c>
      <c r="P28" s="36">
        <v>1278.53</v>
      </c>
      <c r="Q28" s="37">
        <v>45536</v>
      </c>
      <c r="R28" s="37">
        <v>45554</v>
      </c>
      <c r="S28" s="37">
        <v>45556</v>
      </c>
      <c r="T28" s="31" t="s">
        <v>199</v>
      </c>
      <c r="U28" s="31" t="s">
        <v>198</v>
      </c>
    </row>
    <row r="29" spans="1:21" x14ac:dyDescent="0.25">
      <c r="A29" s="31">
        <v>28</v>
      </c>
      <c r="B29" s="31"/>
      <c r="C29" s="31"/>
      <c r="D29" s="31" t="s">
        <v>83</v>
      </c>
      <c r="E29" s="31" t="s">
        <v>84</v>
      </c>
      <c r="F29" s="31"/>
      <c r="G29" s="31" t="s">
        <v>56</v>
      </c>
      <c r="H29" s="31" t="s">
        <v>150</v>
      </c>
      <c r="I29" s="31" t="s">
        <v>153</v>
      </c>
      <c r="J29" s="31" t="s">
        <v>177</v>
      </c>
      <c r="K29" s="31">
        <v>120</v>
      </c>
      <c r="L29" s="31" t="s">
        <v>167</v>
      </c>
      <c r="M29" s="31"/>
      <c r="N29" s="22" t="s">
        <v>87</v>
      </c>
      <c r="O29" s="31">
        <v>4020</v>
      </c>
      <c r="P29" s="36" t="s">
        <v>85</v>
      </c>
      <c r="Q29" s="37">
        <v>45547</v>
      </c>
      <c r="R29" s="37">
        <v>45556</v>
      </c>
      <c r="S29" s="37">
        <v>45557</v>
      </c>
      <c r="T29" s="31" t="s">
        <v>199</v>
      </c>
      <c r="U29" s="31" t="s">
        <v>191</v>
      </c>
    </row>
    <row r="30" spans="1:21" x14ac:dyDescent="0.25">
      <c r="A30" s="31">
        <v>29</v>
      </c>
      <c r="B30" s="31"/>
      <c r="C30" s="31"/>
      <c r="D30" s="31" t="s">
        <v>83</v>
      </c>
      <c r="E30" s="31" t="s">
        <v>84</v>
      </c>
      <c r="F30" s="31"/>
      <c r="G30" s="31" t="s">
        <v>56</v>
      </c>
      <c r="H30" s="31" t="s">
        <v>150</v>
      </c>
      <c r="I30" s="31" t="s">
        <v>153</v>
      </c>
      <c r="J30" s="31" t="s">
        <v>177</v>
      </c>
      <c r="K30" s="31">
        <v>120</v>
      </c>
      <c r="L30" s="31" t="s">
        <v>167</v>
      </c>
      <c r="M30" s="31"/>
      <c r="N30" s="22" t="s">
        <v>87</v>
      </c>
      <c r="O30" s="31">
        <v>4020</v>
      </c>
      <c r="P30" s="36" t="s">
        <v>85</v>
      </c>
      <c r="Q30" s="37">
        <v>45547</v>
      </c>
      <c r="R30" s="37">
        <v>45556</v>
      </c>
      <c r="S30" s="37">
        <v>45557</v>
      </c>
      <c r="T30" s="31" t="s">
        <v>199</v>
      </c>
      <c r="U30" s="31" t="s">
        <v>191</v>
      </c>
    </row>
    <row r="31" spans="1:21" x14ac:dyDescent="0.25">
      <c r="A31" s="31">
        <v>30</v>
      </c>
      <c r="B31" s="31"/>
      <c r="C31" s="31"/>
      <c r="D31" s="31" t="s">
        <v>83</v>
      </c>
      <c r="E31" s="31" t="s">
        <v>84</v>
      </c>
      <c r="F31" s="31"/>
      <c r="G31" s="31" t="s">
        <v>56</v>
      </c>
      <c r="H31" s="31" t="s">
        <v>150</v>
      </c>
      <c r="I31" s="31" t="s">
        <v>153</v>
      </c>
      <c r="J31" s="31" t="s">
        <v>169</v>
      </c>
      <c r="K31" s="31">
        <v>120</v>
      </c>
      <c r="L31" s="31" t="s">
        <v>168</v>
      </c>
      <c r="M31" s="31"/>
      <c r="N31" s="22" t="s">
        <v>86</v>
      </c>
      <c r="O31" s="31">
        <v>4020</v>
      </c>
      <c r="P31" s="36" t="s">
        <v>115</v>
      </c>
      <c r="Q31" s="37">
        <v>45547</v>
      </c>
      <c r="R31" s="37">
        <v>45556</v>
      </c>
      <c r="S31" s="37">
        <v>45557</v>
      </c>
      <c r="T31" s="31" t="s">
        <v>199</v>
      </c>
      <c r="U31" s="31" t="s">
        <v>191</v>
      </c>
    </row>
    <row r="32" spans="1:21" x14ac:dyDescent="0.25">
      <c r="A32" s="31">
        <v>31</v>
      </c>
      <c r="B32" s="31"/>
      <c r="C32" s="31"/>
      <c r="D32" s="31" t="s">
        <v>83</v>
      </c>
      <c r="E32" s="31" t="s">
        <v>84</v>
      </c>
      <c r="F32" s="31"/>
      <c r="G32" s="31" t="s">
        <v>56</v>
      </c>
      <c r="H32" s="31" t="s">
        <v>150</v>
      </c>
      <c r="I32" s="31" t="s">
        <v>153</v>
      </c>
      <c r="J32" s="31" t="s">
        <v>169</v>
      </c>
      <c r="K32" s="31">
        <v>120</v>
      </c>
      <c r="L32" s="31" t="s">
        <v>168</v>
      </c>
      <c r="M32" s="31"/>
      <c r="N32" s="22" t="s">
        <v>86</v>
      </c>
      <c r="O32" s="31">
        <v>4020</v>
      </c>
      <c r="P32" s="36" t="s">
        <v>115</v>
      </c>
      <c r="Q32" s="37">
        <v>45547</v>
      </c>
      <c r="R32" s="37">
        <v>45556</v>
      </c>
      <c r="S32" s="37">
        <v>45557</v>
      </c>
      <c r="T32" s="31" t="s">
        <v>199</v>
      </c>
      <c r="U32" s="31" t="s">
        <v>191</v>
      </c>
    </row>
    <row r="33" spans="1:21" x14ac:dyDescent="0.25">
      <c r="A33" s="14">
        <v>32</v>
      </c>
      <c r="B33" s="40">
        <v>1509211</v>
      </c>
      <c r="C33" s="40">
        <v>1230837</v>
      </c>
      <c r="D33" s="14" t="s">
        <v>143</v>
      </c>
      <c r="E33" s="14" t="s">
        <v>144</v>
      </c>
      <c r="F33" s="14"/>
      <c r="G33" s="14" t="s">
        <v>8</v>
      </c>
      <c r="H33" s="14" t="s">
        <v>150</v>
      </c>
      <c r="I33" s="14" t="s">
        <v>151</v>
      </c>
      <c r="J33" s="14"/>
      <c r="K33" s="14"/>
      <c r="L33" s="14" t="s">
        <v>168</v>
      </c>
      <c r="M33" s="14" t="s">
        <v>168</v>
      </c>
      <c r="N33" s="41" t="s">
        <v>145</v>
      </c>
      <c r="O33" s="14">
        <v>9399</v>
      </c>
      <c r="P33" s="36" t="s">
        <v>115</v>
      </c>
      <c r="Q33" s="14" t="s">
        <v>146</v>
      </c>
      <c r="R33" s="43">
        <v>45557</v>
      </c>
      <c r="S33" s="14" t="s">
        <v>192</v>
      </c>
      <c r="T33" s="14" t="s">
        <v>37</v>
      </c>
      <c r="U33" s="14" t="s">
        <v>192</v>
      </c>
    </row>
    <row r="34" spans="1:21" x14ac:dyDescent="0.25">
      <c r="A34" s="31">
        <v>33</v>
      </c>
      <c r="B34" s="34">
        <v>1536687</v>
      </c>
      <c r="C34" s="34">
        <v>1237682</v>
      </c>
      <c r="D34" s="31" t="s">
        <v>147</v>
      </c>
      <c r="E34" s="31" t="s">
        <v>148</v>
      </c>
      <c r="F34" s="31"/>
      <c r="G34" s="31" t="s">
        <v>8</v>
      </c>
      <c r="H34" s="31" t="s">
        <v>157</v>
      </c>
      <c r="I34" s="31" t="s">
        <v>189</v>
      </c>
      <c r="J34" s="31"/>
      <c r="K34" s="31"/>
      <c r="L34" s="31"/>
      <c r="M34" s="31"/>
      <c r="N34" s="35" t="s">
        <v>149</v>
      </c>
      <c r="O34" s="31">
        <v>8349</v>
      </c>
      <c r="P34" s="36" t="s">
        <v>115</v>
      </c>
      <c r="Q34" s="37">
        <v>45549</v>
      </c>
      <c r="R34" s="37">
        <v>45557</v>
      </c>
      <c r="S34" s="37">
        <v>45559</v>
      </c>
      <c r="T34" s="24" t="s">
        <v>28</v>
      </c>
      <c r="U34" s="31" t="s">
        <v>191</v>
      </c>
    </row>
    <row r="35" spans="1:21" x14ac:dyDescent="0.25">
      <c r="A35" s="31">
        <v>34</v>
      </c>
      <c r="B35" s="34">
        <v>1520537</v>
      </c>
      <c r="C35" s="34">
        <v>1233624</v>
      </c>
      <c r="D35" s="44" t="s">
        <v>104</v>
      </c>
      <c r="E35" s="44" t="s">
        <v>39</v>
      </c>
      <c r="F35" s="44"/>
      <c r="G35" s="31" t="s">
        <v>8</v>
      </c>
      <c r="H35" s="44" t="s">
        <v>150</v>
      </c>
      <c r="I35" s="44" t="s">
        <v>151</v>
      </c>
      <c r="J35" s="44"/>
      <c r="K35" s="44"/>
      <c r="L35" s="31" t="s">
        <v>168</v>
      </c>
      <c r="M35" s="31" t="s">
        <v>168</v>
      </c>
      <c r="N35" s="45" t="s">
        <v>105</v>
      </c>
      <c r="O35" s="44">
        <v>9399</v>
      </c>
      <c r="P35" s="46" t="s">
        <v>16</v>
      </c>
      <c r="Q35" s="47">
        <v>45548</v>
      </c>
      <c r="R35" s="47">
        <v>45559</v>
      </c>
      <c r="S35" s="47" t="s">
        <v>209</v>
      </c>
      <c r="T35" s="44" t="s">
        <v>28</v>
      </c>
      <c r="U35" s="31" t="s">
        <v>198</v>
      </c>
    </row>
    <row r="36" spans="1:21" x14ac:dyDescent="0.25">
      <c r="A36" s="31">
        <v>35</v>
      </c>
      <c r="B36" s="34">
        <v>1422998</v>
      </c>
      <c r="C36" s="34">
        <v>1207350</v>
      </c>
      <c r="D36" s="31" t="s">
        <v>71</v>
      </c>
      <c r="E36" s="31" t="s">
        <v>72</v>
      </c>
      <c r="F36" s="31"/>
      <c r="G36" s="31" t="s">
        <v>8</v>
      </c>
      <c r="H36" s="31" t="s">
        <v>157</v>
      </c>
      <c r="I36" s="31" t="s">
        <v>187</v>
      </c>
      <c r="J36" s="31"/>
      <c r="K36" s="31"/>
      <c r="L36" s="31"/>
      <c r="M36" s="31"/>
      <c r="N36" s="35" t="s">
        <v>63</v>
      </c>
      <c r="O36" s="31">
        <v>7849</v>
      </c>
      <c r="P36" s="36">
        <v>7928</v>
      </c>
      <c r="Q36" s="37">
        <v>45547</v>
      </c>
      <c r="R36" s="37">
        <v>45561</v>
      </c>
      <c r="S36" s="24" t="s">
        <v>28</v>
      </c>
      <c r="T36" s="24" t="s">
        <v>28</v>
      </c>
      <c r="U36" s="31" t="s">
        <v>194</v>
      </c>
    </row>
    <row r="37" spans="1:21" x14ac:dyDescent="0.25">
      <c r="A37" s="55">
        <v>36</v>
      </c>
      <c r="B37" s="55"/>
      <c r="C37" s="55"/>
      <c r="D37" s="55" t="s">
        <v>79</v>
      </c>
      <c r="E37" s="55" t="s">
        <v>80</v>
      </c>
      <c r="F37" s="55" t="s">
        <v>81</v>
      </c>
      <c r="G37" s="55" t="s">
        <v>35</v>
      </c>
      <c r="H37" s="55" t="s">
        <v>150</v>
      </c>
      <c r="I37" s="55" t="s">
        <v>171</v>
      </c>
      <c r="J37" s="55" t="s">
        <v>155</v>
      </c>
      <c r="K37" s="55">
        <v>100</v>
      </c>
      <c r="L37" s="55" t="s">
        <v>168</v>
      </c>
      <c r="M37" s="55"/>
      <c r="N37" s="56" t="s">
        <v>82</v>
      </c>
      <c r="O37" s="55">
        <v>9450</v>
      </c>
      <c r="P37" s="48">
        <v>9450</v>
      </c>
      <c r="Q37" s="49">
        <v>45547</v>
      </c>
      <c r="R37" s="49">
        <v>45561</v>
      </c>
      <c r="S37" s="49"/>
      <c r="T37" s="55"/>
      <c r="U37" s="55" t="s">
        <v>236</v>
      </c>
    </row>
    <row r="38" spans="1:21" x14ac:dyDescent="0.25">
      <c r="A38" s="31">
        <v>37</v>
      </c>
      <c r="B38" s="34">
        <v>1459790</v>
      </c>
      <c r="C38" s="34">
        <v>1218257</v>
      </c>
      <c r="D38" s="44" t="s">
        <v>95</v>
      </c>
      <c r="E38" s="44" t="s">
        <v>67</v>
      </c>
      <c r="F38" s="44"/>
      <c r="G38" s="31" t="s">
        <v>8</v>
      </c>
      <c r="H38" s="44" t="s">
        <v>150</v>
      </c>
      <c r="I38" s="31" t="s">
        <v>153</v>
      </c>
      <c r="J38" s="31" t="s">
        <v>156</v>
      </c>
      <c r="K38" s="44">
        <v>120</v>
      </c>
      <c r="L38" s="44" t="s">
        <v>168</v>
      </c>
      <c r="M38" s="44"/>
      <c r="N38" s="45" t="s">
        <v>96</v>
      </c>
      <c r="O38" s="44">
        <v>7460</v>
      </c>
      <c r="P38" s="46" t="s">
        <v>16</v>
      </c>
      <c r="Q38" s="47">
        <v>45548</v>
      </c>
      <c r="R38" s="47">
        <v>45561</v>
      </c>
      <c r="S38" s="47">
        <v>45568</v>
      </c>
      <c r="T38" s="31" t="s">
        <v>199</v>
      </c>
      <c r="U38" s="31" t="s">
        <v>198</v>
      </c>
    </row>
    <row r="39" spans="1:21" x14ac:dyDescent="0.25">
      <c r="A39" s="31">
        <v>38</v>
      </c>
      <c r="B39" s="34">
        <v>1455486</v>
      </c>
      <c r="C39" s="34">
        <v>1217163</v>
      </c>
      <c r="D39" s="44" t="s">
        <v>99</v>
      </c>
      <c r="E39" s="31" t="s">
        <v>67</v>
      </c>
      <c r="F39" s="44"/>
      <c r="G39" s="31" t="s">
        <v>8</v>
      </c>
      <c r="H39" s="44" t="s">
        <v>150</v>
      </c>
      <c r="I39" s="31" t="s">
        <v>153</v>
      </c>
      <c r="J39" s="44" t="s">
        <v>178</v>
      </c>
      <c r="K39" s="44">
        <v>140</v>
      </c>
      <c r="L39" s="44" t="s">
        <v>176</v>
      </c>
      <c r="M39" s="44" t="s">
        <v>172</v>
      </c>
      <c r="N39" s="45" t="s">
        <v>100</v>
      </c>
      <c r="O39" s="44">
        <v>9528</v>
      </c>
      <c r="P39" s="46" t="s">
        <v>16</v>
      </c>
      <c r="Q39" s="47">
        <v>45548</v>
      </c>
      <c r="R39" s="47">
        <v>45561</v>
      </c>
      <c r="S39" s="47">
        <v>45568</v>
      </c>
      <c r="T39" s="31" t="s">
        <v>199</v>
      </c>
      <c r="U39" s="31" t="s">
        <v>198</v>
      </c>
    </row>
    <row r="40" spans="1:21" x14ac:dyDescent="0.25">
      <c r="A40" s="31">
        <v>39</v>
      </c>
      <c r="B40" s="34">
        <v>1504407</v>
      </c>
      <c r="C40" s="34">
        <v>1229760</v>
      </c>
      <c r="D40" s="31" t="s">
        <v>141</v>
      </c>
      <c r="E40" s="31" t="s">
        <v>39</v>
      </c>
      <c r="F40" s="31"/>
      <c r="G40" s="31" t="s">
        <v>8</v>
      </c>
      <c r="H40" s="31" t="s">
        <v>150</v>
      </c>
      <c r="I40" s="31" t="s">
        <v>165</v>
      </c>
      <c r="J40" s="31" t="s">
        <v>155</v>
      </c>
      <c r="K40" s="31">
        <v>120</v>
      </c>
      <c r="L40" s="31" t="s">
        <v>172</v>
      </c>
      <c r="M40" s="31"/>
      <c r="N40" s="35" t="s">
        <v>142</v>
      </c>
      <c r="O40" s="31">
        <v>12999</v>
      </c>
      <c r="P40" s="36" t="s">
        <v>16</v>
      </c>
      <c r="Q40" s="37">
        <v>45549</v>
      </c>
      <c r="R40" s="37">
        <v>45562</v>
      </c>
      <c r="S40" s="37">
        <v>45567</v>
      </c>
      <c r="T40" s="31" t="s">
        <v>199</v>
      </c>
      <c r="U40" s="31" t="s">
        <v>198</v>
      </c>
    </row>
    <row r="41" spans="1:21" x14ac:dyDescent="0.25">
      <c r="A41" s="11">
        <v>40</v>
      </c>
      <c r="B41" s="17">
        <v>1423361</v>
      </c>
      <c r="C41" s="17">
        <v>1207484</v>
      </c>
      <c r="D41" s="11" t="s">
        <v>73</v>
      </c>
      <c r="E41" s="11" t="s">
        <v>74</v>
      </c>
      <c r="F41" s="11"/>
      <c r="G41" s="11" t="s">
        <v>8</v>
      </c>
      <c r="H41" s="11" t="s">
        <v>150</v>
      </c>
      <c r="I41" s="11" t="s">
        <v>165</v>
      </c>
      <c r="J41" s="11" t="s">
        <v>152</v>
      </c>
      <c r="K41" s="11">
        <v>90</v>
      </c>
      <c r="L41" s="11" t="s">
        <v>168</v>
      </c>
      <c r="M41" s="11"/>
      <c r="N41" s="18" t="s">
        <v>77</v>
      </c>
      <c r="O41" s="11">
        <v>5999</v>
      </c>
      <c r="P41" s="19" t="s">
        <v>16</v>
      </c>
      <c r="Q41" s="20">
        <v>45547</v>
      </c>
      <c r="R41" s="20">
        <v>45564</v>
      </c>
      <c r="S41" s="20"/>
      <c r="T41" s="11"/>
      <c r="U41" s="11"/>
    </row>
    <row r="42" spans="1:21" x14ac:dyDescent="0.25">
      <c r="A42" s="31">
        <v>41</v>
      </c>
      <c r="B42" s="34">
        <v>1415725</v>
      </c>
      <c r="C42" s="34">
        <v>1204732</v>
      </c>
      <c r="D42" s="31" t="s">
        <v>75</v>
      </c>
      <c r="E42" s="31" t="s">
        <v>76</v>
      </c>
      <c r="F42" s="31"/>
      <c r="G42" s="31" t="s">
        <v>8</v>
      </c>
      <c r="H42" s="31" t="s">
        <v>150</v>
      </c>
      <c r="I42" s="31" t="s">
        <v>165</v>
      </c>
      <c r="J42" s="31" t="s">
        <v>155</v>
      </c>
      <c r="K42" s="31">
        <v>100</v>
      </c>
      <c r="L42" s="31" t="s">
        <v>168</v>
      </c>
      <c r="M42" s="31"/>
      <c r="N42" s="35" t="s">
        <v>78</v>
      </c>
      <c r="O42" s="31">
        <v>11949</v>
      </c>
      <c r="P42" s="36">
        <v>10749</v>
      </c>
      <c r="Q42" s="37">
        <v>45547</v>
      </c>
      <c r="R42" s="37">
        <v>45564</v>
      </c>
      <c r="S42" s="37">
        <v>45567</v>
      </c>
      <c r="T42" s="31" t="s">
        <v>199</v>
      </c>
      <c r="U42" s="31" t="s">
        <v>198</v>
      </c>
    </row>
    <row r="43" spans="1:21" x14ac:dyDescent="0.25">
      <c r="A43" s="31">
        <v>42</v>
      </c>
      <c r="B43" s="34">
        <v>1415726</v>
      </c>
      <c r="C43" s="34">
        <v>1204732</v>
      </c>
      <c r="D43" s="31" t="s">
        <v>75</v>
      </c>
      <c r="E43" s="31" t="s">
        <v>76</v>
      </c>
      <c r="F43" s="31"/>
      <c r="G43" s="31" t="s">
        <v>8</v>
      </c>
      <c r="H43" s="31" t="s">
        <v>150</v>
      </c>
      <c r="I43" s="31" t="s">
        <v>165</v>
      </c>
      <c r="J43" s="31" t="s">
        <v>155</v>
      </c>
      <c r="K43" s="31">
        <v>100</v>
      </c>
      <c r="L43" s="31" t="s">
        <v>168</v>
      </c>
      <c r="M43" s="31"/>
      <c r="N43" s="35" t="s">
        <v>78</v>
      </c>
      <c r="O43" s="31">
        <v>11949</v>
      </c>
      <c r="P43" s="36">
        <v>10749</v>
      </c>
      <c r="Q43" s="37">
        <v>45547</v>
      </c>
      <c r="R43" s="37">
        <v>45564</v>
      </c>
      <c r="S43" s="37">
        <v>45567</v>
      </c>
      <c r="T43" s="31" t="s">
        <v>199</v>
      </c>
      <c r="U43" s="31" t="s">
        <v>198</v>
      </c>
    </row>
    <row r="44" spans="1:21" x14ac:dyDescent="0.25">
      <c r="A44" s="31">
        <v>43</v>
      </c>
      <c r="B44" s="34">
        <v>1499397</v>
      </c>
      <c r="C44" s="34">
        <v>1228586</v>
      </c>
      <c r="D44" s="44" t="s">
        <v>33</v>
      </c>
      <c r="E44" s="44" t="s">
        <v>88</v>
      </c>
      <c r="F44" s="44"/>
      <c r="G44" s="31" t="s">
        <v>8</v>
      </c>
      <c r="H44" s="44" t="s">
        <v>150</v>
      </c>
      <c r="I44" s="31" t="s">
        <v>171</v>
      </c>
      <c r="J44" s="31" t="s">
        <v>155</v>
      </c>
      <c r="K44" s="44">
        <v>80</v>
      </c>
      <c r="L44" s="44" t="s">
        <v>167</v>
      </c>
      <c r="M44" s="44"/>
      <c r="N44" s="45" t="s">
        <v>91</v>
      </c>
      <c r="O44" s="44">
        <v>16599</v>
      </c>
      <c r="P44" s="46" t="s">
        <v>16</v>
      </c>
      <c r="Q44" s="47">
        <v>45548</v>
      </c>
      <c r="R44" s="47">
        <v>45565</v>
      </c>
      <c r="S44" s="47">
        <v>45568</v>
      </c>
      <c r="T44" s="31" t="s">
        <v>199</v>
      </c>
      <c r="U44" s="31" t="s">
        <v>198</v>
      </c>
    </row>
    <row r="45" spans="1:21" x14ac:dyDescent="0.25">
      <c r="A45" s="31">
        <v>44</v>
      </c>
      <c r="B45" s="34">
        <v>1458696</v>
      </c>
      <c r="C45" s="34">
        <v>1217982</v>
      </c>
      <c r="D45" s="44" t="s">
        <v>89</v>
      </c>
      <c r="E45" s="44" t="s">
        <v>26</v>
      </c>
      <c r="F45" s="44"/>
      <c r="G45" s="31" t="s">
        <v>8</v>
      </c>
      <c r="H45" s="44" t="s">
        <v>150</v>
      </c>
      <c r="I45" s="31" t="s">
        <v>165</v>
      </c>
      <c r="J45" s="31" t="s">
        <v>155</v>
      </c>
      <c r="K45" s="31">
        <v>80</v>
      </c>
      <c r="L45" s="31" t="s">
        <v>167</v>
      </c>
      <c r="M45" s="31"/>
      <c r="N45" s="45" t="s">
        <v>90</v>
      </c>
      <c r="O45" s="44">
        <v>10999</v>
      </c>
      <c r="P45" s="46" t="s">
        <v>16</v>
      </c>
      <c r="Q45" s="47">
        <v>45548</v>
      </c>
      <c r="R45" s="47">
        <v>45565</v>
      </c>
      <c r="S45" s="47">
        <v>45581</v>
      </c>
      <c r="T45" s="44" t="s">
        <v>28</v>
      </c>
      <c r="U45" s="31" t="s">
        <v>198</v>
      </c>
    </row>
    <row r="46" spans="1:21" x14ac:dyDescent="0.25">
      <c r="A46" s="31">
        <v>45</v>
      </c>
      <c r="B46" s="34">
        <v>1480814</v>
      </c>
      <c r="C46" s="34">
        <v>1223964</v>
      </c>
      <c r="D46" s="44" t="s">
        <v>92</v>
      </c>
      <c r="E46" s="44" t="s">
        <v>93</v>
      </c>
      <c r="F46" s="44"/>
      <c r="G46" s="31" t="s">
        <v>8</v>
      </c>
      <c r="H46" s="44" t="s">
        <v>150</v>
      </c>
      <c r="I46" s="31" t="s">
        <v>165</v>
      </c>
      <c r="J46" s="31" t="s">
        <v>155</v>
      </c>
      <c r="K46" s="44">
        <v>140</v>
      </c>
      <c r="L46" s="44" t="s">
        <v>170</v>
      </c>
      <c r="M46" s="44"/>
      <c r="N46" s="45" t="s">
        <v>94</v>
      </c>
      <c r="O46" s="44">
        <v>13099</v>
      </c>
      <c r="P46" s="46" t="s">
        <v>16</v>
      </c>
      <c r="Q46" s="47">
        <v>45548</v>
      </c>
      <c r="R46" s="47">
        <v>45565</v>
      </c>
      <c r="S46" s="47">
        <v>45568</v>
      </c>
      <c r="T46" s="44" t="s">
        <v>28</v>
      </c>
      <c r="U46" s="31" t="s">
        <v>198</v>
      </c>
    </row>
    <row r="47" spans="1:21" x14ac:dyDescent="0.25">
      <c r="A47" s="31">
        <v>46</v>
      </c>
      <c r="B47" s="34">
        <v>1492471</v>
      </c>
      <c r="C47" s="34">
        <v>1227052</v>
      </c>
      <c r="D47" s="44" t="s">
        <v>97</v>
      </c>
      <c r="E47" s="31" t="s">
        <v>39</v>
      </c>
      <c r="F47" s="44"/>
      <c r="G47" s="31" t="s">
        <v>8</v>
      </c>
      <c r="H47" s="44" t="s">
        <v>150</v>
      </c>
      <c r="I47" s="31" t="s">
        <v>165</v>
      </c>
      <c r="J47" s="31" t="s">
        <v>154</v>
      </c>
      <c r="K47" s="31">
        <v>120</v>
      </c>
      <c r="L47" s="31" t="s">
        <v>173</v>
      </c>
      <c r="M47" s="31"/>
      <c r="N47" s="45" t="s">
        <v>98</v>
      </c>
      <c r="O47" s="44">
        <v>13849</v>
      </c>
      <c r="P47" s="46" t="s">
        <v>16</v>
      </c>
      <c r="Q47" s="47">
        <v>45548</v>
      </c>
      <c r="R47" s="47">
        <v>45565</v>
      </c>
      <c r="S47" s="37">
        <v>45585</v>
      </c>
      <c r="T47" s="31" t="s">
        <v>199</v>
      </c>
      <c r="U47" s="31" t="s">
        <v>198</v>
      </c>
    </row>
    <row r="48" spans="1:21" x14ac:dyDescent="0.25">
      <c r="A48" s="44">
        <v>47</v>
      </c>
      <c r="B48" s="50">
        <v>1507912</v>
      </c>
      <c r="C48" s="50">
        <v>1230527</v>
      </c>
      <c r="D48" s="44" t="s">
        <v>101</v>
      </c>
      <c r="E48" s="44" t="s">
        <v>102</v>
      </c>
      <c r="F48" s="44"/>
      <c r="G48" s="44" t="s">
        <v>8</v>
      </c>
      <c r="H48" s="44" t="s">
        <v>161</v>
      </c>
      <c r="I48" s="44" t="s">
        <v>164</v>
      </c>
      <c r="J48" s="44"/>
      <c r="K48" s="44"/>
      <c r="L48" s="44" t="s">
        <v>168</v>
      </c>
      <c r="M48" s="44" t="s">
        <v>172</v>
      </c>
      <c r="N48" s="45" t="s">
        <v>103</v>
      </c>
      <c r="O48" s="44">
        <v>21999</v>
      </c>
      <c r="P48" s="46" t="s">
        <v>16</v>
      </c>
      <c r="Q48" s="47">
        <v>45548</v>
      </c>
      <c r="R48" s="47">
        <v>45565</v>
      </c>
      <c r="S48" s="24" t="s">
        <v>28</v>
      </c>
      <c r="T48" s="31" t="s">
        <v>199</v>
      </c>
      <c r="U48" s="44" t="s">
        <v>198</v>
      </c>
    </row>
    <row r="49" spans="1:21" x14ac:dyDescent="0.25">
      <c r="A49" s="31">
        <v>48</v>
      </c>
      <c r="B49" s="34">
        <v>1525747</v>
      </c>
      <c r="C49" s="34">
        <v>1234936</v>
      </c>
      <c r="D49" s="44" t="s">
        <v>108</v>
      </c>
      <c r="E49" s="44" t="s">
        <v>39</v>
      </c>
      <c r="F49" s="44"/>
      <c r="G49" s="31" t="s">
        <v>8</v>
      </c>
      <c r="H49" s="44" t="s">
        <v>150</v>
      </c>
      <c r="I49" s="31" t="s">
        <v>165</v>
      </c>
      <c r="J49" s="31" t="s">
        <v>155</v>
      </c>
      <c r="K49" s="31">
        <v>80</v>
      </c>
      <c r="L49" s="31" t="s">
        <v>167</v>
      </c>
      <c r="M49" s="31"/>
      <c r="N49" s="45" t="s">
        <v>90</v>
      </c>
      <c r="O49" s="44">
        <v>10999</v>
      </c>
      <c r="P49" s="46" t="s">
        <v>16</v>
      </c>
      <c r="Q49" s="47">
        <v>45548</v>
      </c>
      <c r="R49" s="47">
        <v>45565</v>
      </c>
      <c r="S49" s="47">
        <v>45580</v>
      </c>
      <c r="T49" s="31" t="s">
        <v>199</v>
      </c>
      <c r="U49" s="31" t="s">
        <v>198</v>
      </c>
    </row>
    <row r="50" spans="1:21" x14ac:dyDescent="0.25">
      <c r="A50" s="31">
        <v>49</v>
      </c>
      <c r="B50" s="34">
        <v>1536313</v>
      </c>
      <c r="C50" s="34">
        <v>1237601</v>
      </c>
      <c r="D50" s="44" t="s">
        <v>110</v>
      </c>
      <c r="E50" s="44" t="s">
        <v>107</v>
      </c>
      <c r="F50" s="44"/>
      <c r="G50" s="31" t="s">
        <v>8</v>
      </c>
      <c r="H50" s="44" t="s">
        <v>150</v>
      </c>
      <c r="I50" s="31" t="s">
        <v>171</v>
      </c>
      <c r="J50" s="31" t="s">
        <v>155</v>
      </c>
      <c r="K50" s="44">
        <v>90</v>
      </c>
      <c r="L50" s="44" t="s">
        <v>168</v>
      </c>
      <c r="M50" s="44"/>
      <c r="N50" s="45" t="s">
        <v>111</v>
      </c>
      <c r="O50" s="44">
        <v>17249</v>
      </c>
      <c r="P50" s="46" t="s">
        <v>16</v>
      </c>
      <c r="Q50" s="47">
        <v>45548</v>
      </c>
      <c r="R50" s="47">
        <v>45565</v>
      </c>
      <c r="S50" s="47">
        <v>45569</v>
      </c>
      <c r="T50" s="31" t="s">
        <v>199</v>
      </c>
      <c r="U50" s="31" t="s">
        <v>198</v>
      </c>
    </row>
    <row r="51" spans="1:21" x14ac:dyDescent="0.25">
      <c r="A51" s="31">
        <v>50</v>
      </c>
      <c r="B51" s="34">
        <v>1505609</v>
      </c>
      <c r="C51" s="34">
        <v>1230031</v>
      </c>
      <c r="D51" s="31" t="s">
        <v>138</v>
      </c>
      <c r="E51" s="31" t="s">
        <v>139</v>
      </c>
      <c r="F51" s="31"/>
      <c r="G51" s="31" t="s">
        <v>8</v>
      </c>
      <c r="H51" s="31" t="s">
        <v>157</v>
      </c>
      <c r="I51" s="31" t="s">
        <v>187</v>
      </c>
      <c r="J51" s="31"/>
      <c r="K51" s="31"/>
      <c r="L51" s="31"/>
      <c r="M51" s="31"/>
      <c r="N51" s="35" t="s">
        <v>140</v>
      </c>
      <c r="O51" s="31">
        <v>8349</v>
      </c>
      <c r="P51" s="36" t="s">
        <v>16</v>
      </c>
      <c r="Q51" s="37">
        <v>45549</v>
      </c>
      <c r="R51" s="37">
        <v>45581</v>
      </c>
      <c r="S51" s="37">
        <v>45586</v>
      </c>
      <c r="T51" s="31" t="s">
        <v>199</v>
      </c>
      <c r="U51" s="31" t="s">
        <v>198</v>
      </c>
    </row>
    <row r="52" spans="1:21" x14ac:dyDescent="0.25">
      <c r="A52" s="31">
        <v>51</v>
      </c>
      <c r="B52" s="34">
        <v>1612229</v>
      </c>
      <c r="C52" s="34">
        <v>1254076</v>
      </c>
      <c r="D52" s="31" t="s">
        <v>118</v>
      </c>
      <c r="E52" s="31" t="s">
        <v>62</v>
      </c>
      <c r="F52" s="31"/>
      <c r="G52" s="31" t="s">
        <v>8</v>
      </c>
      <c r="H52" s="31" t="s">
        <v>157</v>
      </c>
      <c r="I52" s="44" t="s">
        <v>188</v>
      </c>
      <c r="J52" s="44"/>
      <c r="K52" s="44"/>
      <c r="L52" s="44"/>
      <c r="M52" s="44"/>
      <c r="N52" s="35" t="s">
        <v>27</v>
      </c>
      <c r="O52" s="44">
        <v>7849</v>
      </c>
      <c r="P52" s="46" t="s">
        <v>16</v>
      </c>
      <c r="Q52" s="47">
        <v>45549</v>
      </c>
      <c r="R52" s="47">
        <v>45594</v>
      </c>
      <c r="S52" s="47">
        <v>45595</v>
      </c>
      <c r="T52" s="31" t="s">
        <v>199</v>
      </c>
      <c r="U52" s="31" t="s">
        <v>198</v>
      </c>
    </row>
    <row r="53" spans="1:21" x14ac:dyDescent="0.25">
      <c r="A53" s="31">
        <v>52</v>
      </c>
      <c r="B53" s="34">
        <v>1673771</v>
      </c>
      <c r="C53" s="34">
        <v>1269559</v>
      </c>
      <c r="D53" s="31" t="s">
        <v>119</v>
      </c>
      <c r="E53" s="44" t="s">
        <v>39</v>
      </c>
      <c r="F53" s="31"/>
      <c r="G53" s="31" t="s">
        <v>8</v>
      </c>
      <c r="H53" s="44" t="s">
        <v>150</v>
      </c>
      <c r="I53" s="44" t="s">
        <v>151</v>
      </c>
      <c r="J53" s="44"/>
      <c r="K53" s="44"/>
      <c r="L53" s="31" t="s">
        <v>168</v>
      </c>
      <c r="M53" s="31" t="s">
        <v>168</v>
      </c>
      <c r="N53" s="45" t="s">
        <v>120</v>
      </c>
      <c r="O53" s="44">
        <v>9399</v>
      </c>
      <c r="P53" s="46" t="s">
        <v>115</v>
      </c>
      <c r="Q53" s="47">
        <v>45549</v>
      </c>
      <c r="R53" s="47">
        <v>45594</v>
      </c>
      <c r="S53" s="47">
        <v>45580</v>
      </c>
      <c r="T53" s="31" t="s">
        <v>199</v>
      </c>
      <c r="U53" s="31" t="s">
        <v>198</v>
      </c>
    </row>
    <row r="54" spans="1:21" x14ac:dyDescent="0.25">
      <c r="A54" s="31">
        <v>53</v>
      </c>
      <c r="B54" s="34">
        <v>1667352</v>
      </c>
      <c r="C54" s="34">
        <v>1267819</v>
      </c>
      <c r="D54" s="31" t="s">
        <v>121</v>
      </c>
      <c r="E54" s="31" t="s">
        <v>122</v>
      </c>
      <c r="F54" s="31"/>
      <c r="G54" s="31" t="s">
        <v>8</v>
      </c>
      <c r="H54" s="44" t="s">
        <v>150</v>
      </c>
      <c r="I54" s="31" t="s">
        <v>153</v>
      </c>
      <c r="J54" s="31" t="s">
        <v>156</v>
      </c>
      <c r="K54" s="44">
        <v>140</v>
      </c>
      <c r="L54" s="44" t="s">
        <v>168</v>
      </c>
      <c r="M54" s="44"/>
      <c r="N54" s="35" t="s">
        <v>123</v>
      </c>
      <c r="O54" s="44">
        <v>11817</v>
      </c>
      <c r="P54" s="46" t="s">
        <v>115</v>
      </c>
      <c r="Q54" s="47">
        <v>45549</v>
      </c>
      <c r="R54" s="47">
        <v>45594</v>
      </c>
      <c r="S54" s="37">
        <v>45580</v>
      </c>
      <c r="T54" s="31" t="s">
        <v>199</v>
      </c>
      <c r="U54" s="31" t="s">
        <v>198</v>
      </c>
    </row>
    <row r="55" spans="1:21" x14ac:dyDescent="0.25">
      <c r="A55" s="31">
        <v>54</v>
      </c>
      <c r="B55" s="34">
        <v>1649781</v>
      </c>
      <c r="C55" s="34">
        <v>1263160</v>
      </c>
      <c r="D55" s="31" t="s">
        <v>124</v>
      </c>
      <c r="E55" s="31" t="s">
        <v>88</v>
      </c>
      <c r="F55" s="31"/>
      <c r="G55" s="31" t="s">
        <v>8</v>
      </c>
      <c r="H55" s="31" t="s">
        <v>157</v>
      </c>
      <c r="I55" s="31" t="s">
        <v>189</v>
      </c>
      <c r="J55" s="44"/>
      <c r="K55" s="44"/>
      <c r="L55" s="44"/>
      <c r="M55" s="44"/>
      <c r="N55" s="35" t="s">
        <v>125</v>
      </c>
      <c r="O55" s="44">
        <v>8349</v>
      </c>
      <c r="P55" s="46" t="s">
        <v>115</v>
      </c>
      <c r="Q55" s="47">
        <v>45549</v>
      </c>
      <c r="R55" s="47">
        <v>45594</v>
      </c>
      <c r="S55" s="37">
        <v>45584</v>
      </c>
      <c r="T55" s="31" t="s">
        <v>199</v>
      </c>
      <c r="U55" s="31" t="s">
        <v>198</v>
      </c>
    </row>
    <row r="56" spans="1:21" x14ac:dyDescent="0.25">
      <c r="A56" s="11">
        <v>55</v>
      </c>
      <c r="B56" s="17">
        <v>1681476</v>
      </c>
      <c r="C56" s="17">
        <v>1271813</v>
      </c>
      <c r="D56" s="11" t="s">
        <v>128</v>
      </c>
      <c r="E56" s="11" t="s">
        <v>129</v>
      </c>
      <c r="F56" s="11"/>
      <c r="G56" s="11" t="s">
        <v>8</v>
      </c>
      <c r="H56" s="38" t="s">
        <v>150</v>
      </c>
      <c r="I56" s="11" t="s">
        <v>153</v>
      </c>
      <c r="J56" s="11" t="s">
        <v>177</v>
      </c>
      <c r="K56" s="38">
        <v>120</v>
      </c>
      <c r="L56" s="38" t="s">
        <v>167</v>
      </c>
      <c r="M56" s="38"/>
      <c r="N56" s="9" t="s">
        <v>130</v>
      </c>
      <c r="O56" s="11">
        <v>17886</v>
      </c>
      <c r="P56" s="19" t="s">
        <v>115</v>
      </c>
      <c r="Q56" s="20">
        <v>45549</v>
      </c>
      <c r="R56" s="39">
        <v>45594</v>
      </c>
      <c r="S56" s="11"/>
      <c r="T56" s="11"/>
      <c r="U56" s="11" t="s">
        <v>193</v>
      </c>
    </row>
    <row r="57" spans="1:21" x14ac:dyDescent="0.25">
      <c r="A57" s="11">
        <v>56</v>
      </c>
      <c r="B57" s="17">
        <v>1681477</v>
      </c>
      <c r="C57" s="17">
        <v>1271813</v>
      </c>
      <c r="D57" s="11" t="s">
        <v>128</v>
      </c>
      <c r="E57" s="11" t="s">
        <v>129</v>
      </c>
      <c r="F57" s="11"/>
      <c r="G57" s="11" t="s">
        <v>8</v>
      </c>
      <c r="H57" s="38" t="s">
        <v>150</v>
      </c>
      <c r="I57" s="11" t="s">
        <v>153</v>
      </c>
      <c r="J57" s="11" t="s">
        <v>177</v>
      </c>
      <c r="K57" s="38">
        <v>120</v>
      </c>
      <c r="L57" s="38" t="s">
        <v>167</v>
      </c>
      <c r="M57" s="38"/>
      <c r="N57" s="9" t="s">
        <v>130</v>
      </c>
      <c r="O57" s="11">
        <v>17886</v>
      </c>
      <c r="P57" s="19" t="s">
        <v>115</v>
      </c>
      <c r="Q57" s="20">
        <v>45549</v>
      </c>
      <c r="R57" s="39">
        <v>45594</v>
      </c>
      <c r="S57" s="11"/>
      <c r="T57" s="11"/>
      <c r="U57" s="11" t="s">
        <v>193</v>
      </c>
    </row>
    <row r="58" spans="1:21" x14ac:dyDescent="0.25">
      <c r="A58" s="31">
        <v>57</v>
      </c>
      <c r="B58" s="34">
        <v>1677530</v>
      </c>
      <c r="C58" s="34">
        <v>1270704</v>
      </c>
      <c r="D58" s="31" t="s">
        <v>131</v>
      </c>
      <c r="E58" s="31" t="s">
        <v>67</v>
      </c>
      <c r="F58" s="31"/>
      <c r="G58" s="31" t="s">
        <v>8</v>
      </c>
      <c r="H58" s="44" t="s">
        <v>150</v>
      </c>
      <c r="I58" s="31" t="s">
        <v>153</v>
      </c>
      <c r="J58" s="31" t="s">
        <v>156</v>
      </c>
      <c r="K58" s="44">
        <v>120</v>
      </c>
      <c r="L58" s="44" t="s">
        <v>167</v>
      </c>
      <c r="M58" s="44"/>
      <c r="N58" s="35" t="s">
        <v>132</v>
      </c>
      <c r="O58" s="44">
        <v>10987</v>
      </c>
      <c r="P58" s="36" t="s">
        <v>16</v>
      </c>
      <c r="Q58" s="37">
        <v>45549</v>
      </c>
      <c r="R58" s="47">
        <v>45594</v>
      </c>
      <c r="S58" s="37">
        <v>45578</v>
      </c>
      <c r="T58" s="31" t="s">
        <v>199</v>
      </c>
      <c r="U58" s="31" t="s">
        <v>198</v>
      </c>
    </row>
    <row r="59" spans="1:21" x14ac:dyDescent="0.25">
      <c r="A59" s="31">
        <v>58</v>
      </c>
      <c r="B59" s="34">
        <v>1677528</v>
      </c>
      <c r="C59" s="34">
        <v>1270704</v>
      </c>
      <c r="D59" s="31" t="s">
        <v>131</v>
      </c>
      <c r="E59" s="31" t="s">
        <v>67</v>
      </c>
      <c r="F59" s="31"/>
      <c r="G59" s="31" t="s">
        <v>8</v>
      </c>
      <c r="H59" s="44" t="s">
        <v>150</v>
      </c>
      <c r="I59" s="31" t="s">
        <v>153</v>
      </c>
      <c r="J59" s="31" t="s">
        <v>156</v>
      </c>
      <c r="K59" s="44">
        <v>120</v>
      </c>
      <c r="L59" s="44" t="s">
        <v>167</v>
      </c>
      <c r="M59" s="44"/>
      <c r="N59" s="35" t="s">
        <v>132</v>
      </c>
      <c r="O59" s="44">
        <v>10987</v>
      </c>
      <c r="P59" s="36" t="s">
        <v>16</v>
      </c>
      <c r="Q59" s="37">
        <v>45549</v>
      </c>
      <c r="R59" s="47">
        <v>45594</v>
      </c>
      <c r="S59" s="37">
        <v>45578</v>
      </c>
      <c r="T59" s="31" t="s">
        <v>199</v>
      </c>
      <c r="U59" s="31" t="s">
        <v>198</v>
      </c>
    </row>
    <row r="60" spans="1:21" x14ac:dyDescent="0.25">
      <c r="A60" s="31">
        <v>59</v>
      </c>
      <c r="B60" s="34">
        <v>1657744</v>
      </c>
      <c r="C60" s="34">
        <v>1265268</v>
      </c>
      <c r="D60" s="31" t="s">
        <v>134</v>
      </c>
      <c r="E60" s="31" t="s">
        <v>135</v>
      </c>
      <c r="F60" s="31"/>
      <c r="G60" s="31" t="s">
        <v>8</v>
      </c>
      <c r="H60" s="31" t="s">
        <v>157</v>
      </c>
      <c r="I60" s="31" t="s">
        <v>187</v>
      </c>
      <c r="J60" s="31"/>
      <c r="K60" s="31"/>
      <c r="L60" s="31"/>
      <c r="M60" s="31"/>
      <c r="N60" s="35" t="s">
        <v>63</v>
      </c>
      <c r="O60" s="31">
        <v>10319</v>
      </c>
      <c r="P60" s="36" t="s">
        <v>16</v>
      </c>
      <c r="Q60" s="37">
        <v>45549</v>
      </c>
      <c r="R60" s="37">
        <v>45594</v>
      </c>
      <c r="S60" s="37">
        <v>45584</v>
      </c>
      <c r="T60" s="31" t="s">
        <v>199</v>
      </c>
      <c r="U60" s="31" t="s">
        <v>198</v>
      </c>
    </row>
    <row r="61" spans="1:21" x14ac:dyDescent="0.25">
      <c r="A61" s="31">
        <v>60</v>
      </c>
      <c r="B61" s="34">
        <v>1610613</v>
      </c>
      <c r="C61" s="34">
        <v>1253646</v>
      </c>
      <c r="D61" s="31" t="s">
        <v>112</v>
      </c>
      <c r="E61" s="31" t="s">
        <v>113</v>
      </c>
      <c r="F61" s="31"/>
      <c r="G61" s="31" t="s">
        <v>8</v>
      </c>
      <c r="H61" s="44" t="s">
        <v>150</v>
      </c>
      <c r="I61" s="31" t="s">
        <v>165</v>
      </c>
      <c r="J61" s="31" t="s">
        <v>155</v>
      </c>
      <c r="K61" s="31">
        <v>120</v>
      </c>
      <c r="L61" s="31" t="s">
        <v>172</v>
      </c>
      <c r="M61" s="31"/>
      <c r="N61" s="35" t="s">
        <v>114</v>
      </c>
      <c r="O61" s="44">
        <v>12999</v>
      </c>
      <c r="P61" s="46" t="s">
        <v>115</v>
      </c>
      <c r="Q61" s="47">
        <v>45549</v>
      </c>
      <c r="R61" s="47">
        <v>45616</v>
      </c>
      <c r="S61" s="47">
        <v>45582</v>
      </c>
      <c r="T61" s="31" t="s">
        <v>28</v>
      </c>
      <c r="U61" s="31" t="s">
        <v>198</v>
      </c>
    </row>
    <row r="62" spans="1:21" x14ac:dyDescent="0.25">
      <c r="A62" s="14">
        <v>61</v>
      </c>
      <c r="B62" s="40">
        <v>1608468</v>
      </c>
      <c r="C62" s="40">
        <v>1253172</v>
      </c>
      <c r="D62" s="14" t="s">
        <v>116</v>
      </c>
      <c r="E62" s="14" t="s">
        <v>117</v>
      </c>
      <c r="F62" s="14"/>
      <c r="G62" s="14" t="s">
        <v>8</v>
      </c>
      <c r="H62" s="14" t="s">
        <v>161</v>
      </c>
      <c r="I62" s="14" t="s">
        <v>164</v>
      </c>
      <c r="J62" s="14"/>
      <c r="K62" s="14"/>
      <c r="L62" s="14" t="s">
        <v>168</v>
      </c>
      <c r="M62" s="14" t="s">
        <v>172</v>
      </c>
      <c r="N62" s="9" t="s">
        <v>103</v>
      </c>
      <c r="O62" s="14">
        <v>21999</v>
      </c>
      <c r="P62" s="48" t="s">
        <v>16</v>
      </c>
      <c r="Q62" s="49">
        <v>45549</v>
      </c>
      <c r="R62" s="43">
        <v>45616</v>
      </c>
      <c r="S62" s="43"/>
      <c r="T62" s="14"/>
      <c r="U62" s="11" t="s">
        <v>193</v>
      </c>
    </row>
    <row r="63" spans="1:21" x14ac:dyDescent="0.25">
      <c r="A63" s="31">
        <v>62</v>
      </c>
      <c r="B63" s="34">
        <v>1654554</v>
      </c>
      <c r="C63" s="34">
        <v>1264469</v>
      </c>
      <c r="D63" s="31" t="s">
        <v>126</v>
      </c>
      <c r="E63" s="31" t="s">
        <v>88</v>
      </c>
      <c r="F63" s="31"/>
      <c r="G63" s="31" t="s">
        <v>8</v>
      </c>
      <c r="H63" s="44" t="s">
        <v>150</v>
      </c>
      <c r="I63" s="31" t="s">
        <v>165</v>
      </c>
      <c r="J63" s="44" t="s">
        <v>152</v>
      </c>
      <c r="K63" s="44">
        <v>100</v>
      </c>
      <c r="L63" s="44" t="s">
        <v>172</v>
      </c>
      <c r="M63" s="44"/>
      <c r="N63" s="9" t="s">
        <v>127</v>
      </c>
      <c r="O63" s="44">
        <v>12399</v>
      </c>
      <c r="P63" s="36" t="s">
        <v>16</v>
      </c>
      <c r="Q63" s="47">
        <v>45549</v>
      </c>
      <c r="R63" s="47">
        <v>45616</v>
      </c>
      <c r="S63" s="37">
        <v>45566</v>
      </c>
      <c r="T63" s="44" t="s">
        <v>28</v>
      </c>
      <c r="U63" s="31" t="s">
        <v>198</v>
      </c>
    </row>
    <row r="64" spans="1:21" x14ac:dyDescent="0.25">
      <c r="A64" s="31">
        <v>63</v>
      </c>
      <c r="B64" s="34">
        <v>1644504</v>
      </c>
      <c r="C64" s="34">
        <v>1261644</v>
      </c>
      <c r="D64" s="31" t="s">
        <v>133</v>
      </c>
      <c r="E64" s="31" t="s">
        <v>67</v>
      </c>
      <c r="F64" s="31"/>
      <c r="G64" s="31" t="s">
        <v>8</v>
      </c>
      <c r="H64" s="44" t="s">
        <v>161</v>
      </c>
      <c r="I64" s="44" t="s">
        <v>164</v>
      </c>
      <c r="J64" s="44"/>
      <c r="K64" s="44"/>
      <c r="L64" s="31" t="s">
        <v>168</v>
      </c>
      <c r="M64" s="31" t="s">
        <v>172</v>
      </c>
      <c r="N64" s="35" t="s">
        <v>103</v>
      </c>
      <c r="O64" s="44">
        <v>21999</v>
      </c>
      <c r="P64" s="36" t="s">
        <v>16</v>
      </c>
      <c r="Q64" s="37">
        <v>45549</v>
      </c>
      <c r="R64" s="37">
        <v>45616</v>
      </c>
      <c r="S64" s="37">
        <v>45574</v>
      </c>
      <c r="T64" s="31" t="s">
        <v>199</v>
      </c>
      <c r="U64" s="53" t="s">
        <v>228</v>
      </c>
    </row>
    <row r="65" spans="1:21" x14ac:dyDescent="0.25">
      <c r="A65" s="31">
        <v>64</v>
      </c>
      <c r="B65" s="34">
        <v>1655447</v>
      </c>
      <c r="C65" s="34">
        <v>1264684</v>
      </c>
      <c r="D65" s="31" t="s">
        <v>136</v>
      </c>
      <c r="E65" s="31" t="s">
        <v>62</v>
      </c>
      <c r="F65" s="31"/>
      <c r="G65" s="31" t="s">
        <v>8</v>
      </c>
      <c r="H65" s="31" t="s">
        <v>150</v>
      </c>
      <c r="I65" s="31" t="s">
        <v>165</v>
      </c>
      <c r="J65" s="31" t="s">
        <v>152</v>
      </c>
      <c r="K65" s="31">
        <v>80</v>
      </c>
      <c r="L65" s="31" t="s">
        <v>167</v>
      </c>
      <c r="M65" s="31"/>
      <c r="N65" s="35" t="s">
        <v>137</v>
      </c>
      <c r="O65" s="31">
        <v>10999</v>
      </c>
      <c r="P65" s="36" t="s">
        <v>115</v>
      </c>
      <c r="Q65" s="37">
        <v>45549</v>
      </c>
      <c r="R65" s="37">
        <v>45616</v>
      </c>
      <c r="S65" s="37">
        <v>45581</v>
      </c>
      <c r="T65" s="31" t="s">
        <v>199</v>
      </c>
      <c r="U65" s="53" t="s">
        <v>228</v>
      </c>
    </row>
    <row r="66" spans="1:21" x14ac:dyDescent="0.25">
      <c r="A66" s="31">
        <v>65</v>
      </c>
      <c r="B66" s="34">
        <v>1679731</v>
      </c>
      <c r="C66" s="34">
        <v>1271291</v>
      </c>
      <c r="D66" s="54" t="s">
        <v>183</v>
      </c>
      <c r="E66" s="54" t="s">
        <v>184</v>
      </c>
      <c r="F66" s="31"/>
      <c r="G66" s="31" t="s">
        <v>8</v>
      </c>
      <c r="H66" s="31" t="s">
        <v>150</v>
      </c>
      <c r="I66" s="31" t="s">
        <v>165</v>
      </c>
      <c r="J66" s="31" t="s">
        <v>155</v>
      </c>
      <c r="K66" s="31">
        <v>80</v>
      </c>
      <c r="L66" s="31" t="s">
        <v>167</v>
      </c>
      <c r="M66" s="31"/>
      <c r="N66" s="35"/>
      <c r="O66" s="31">
        <v>10999</v>
      </c>
      <c r="P66" s="36" t="s">
        <v>115</v>
      </c>
      <c r="Q66" s="31" t="s">
        <v>195</v>
      </c>
      <c r="R66" s="37">
        <v>45616</v>
      </c>
      <c r="S66" s="37">
        <v>45581</v>
      </c>
      <c r="T66" s="31" t="s">
        <v>199</v>
      </c>
      <c r="U66" s="53" t="s">
        <v>228</v>
      </c>
    </row>
    <row r="67" spans="1:21" x14ac:dyDescent="0.25">
      <c r="A67" s="31">
        <v>66</v>
      </c>
      <c r="B67" s="34">
        <v>1679739</v>
      </c>
      <c r="C67" s="34">
        <v>1271291</v>
      </c>
      <c r="D67" s="54" t="s">
        <v>183</v>
      </c>
      <c r="E67" s="54" t="s">
        <v>184</v>
      </c>
      <c r="F67" s="31"/>
      <c r="G67" s="31" t="s">
        <v>8</v>
      </c>
      <c r="H67" s="31" t="s">
        <v>150</v>
      </c>
      <c r="I67" s="31" t="s">
        <v>165</v>
      </c>
      <c r="J67" s="31" t="s">
        <v>155</v>
      </c>
      <c r="K67" s="31">
        <v>80</v>
      </c>
      <c r="L67" s="31" t="s">
        <v>167</v>
      </c>
      <c r="M67" s="31"/>
      <c r="N67" s="35"/>
      <c r="O67" s="31">
        <v>10999</v>
      </c>
      <c r="P67" s="36" t="s">
        <v>115</v>
      </c>
      <c r="Q67" s="31" t="s">
        <v>195</v>
      </c>
      <c r="R67" s="37">
        <v>45616</v>
      </c>
      <c r="S67" s="37">
        <v>45581</v>
      </c>
      <c r="T67" s="31" t="s">
        <v>199</v>
      </c>
      <c r="U67" s="53" t="s">
        <v>228</v>
      </c>
    </row>
    <row r="68" spans="1:21" x14ac:dyDescent="0.25">
      <c r="A68" s="31">
        <v>67</v>
      </c>
      <c r="B68" s="34">
        <v>1670668</v>
      </c>
      <c r="C68" s="34">
        <v>1268695</v>
      </c>
      <c r="D68" s="54" t="s">
        <v>185</v>
      </c>
      <c r="E68" s="54" t="s">
        <v>186</v>
      </c>
      <c r="F68" s="31"/>
      <c r="G68" s="31" t="s">
        <v>8</v>
      </c>
      <c r="H68" s="31" t="s">
        <v>161</v>
      </c>
      <c r="I68" s="31" t="s">
        <v>164</v>
      </c>
      <c r="J68" s="31"/>
      <c r="K68" s="31"/>
      <c r="L68" s="31" t="s">
        <v>168</v>
      </c>
      <c r="M68" s="31" t="s">
        <v>172</v>
      </c>
      <c r="N68" s="35"/>
      <c r="O68" s="31">
        <v>21999</v>
      </c>
      <c r="P68" s="36" t="s">
        <v>115</v>
      </c>
      <c r="Q68" s="31" t="s">
        <v>195</v>
      </c>
      <c r="R68" s="37">
        <v>45616</v>
      </c>
      <c r="S68" s="37">
        <v>45584</v>
      </c>
      <c r="T68" s="31" t="s">
        <v>199</v>
      </c>
      <c r="U68" s="31" t="s">
        <v>228</v>
      </c>
    </row>
    <row r="69" spans="1:21" x14ac:dyDescent="0.25">
      <c r="A69" s="23">
        <v>68</v>
      </c>
      <c r="B69" s="32">
        <v>1416625</v>
      </c>
      <c r="C69" s="32">
        <v>1205197</v>
      </c>
      <c r="D69" s="23" t="s">
        <v>196</v>
      </c>
      <c r="E69" s="23" t="s">
        <v>144</v>
      </c>
      <c r="F69" s="23"/>
      <c r="G69" s="31" t="s">
        <v>8</v>
      </c>
      <c r="H69" s="31" t="s">
        <v>157</v>
      </c>
      <c r="I69" s="31" t="s">
        <v>187</v>
      </c>
      <c r="J69" s="23"/>
      <c r="K69" s="23"/>
      <c r="L69" s="23"/>
      <c r="M69" s="23"/>
      <c r="N69" s="24"/>
      <c r="O69" s="23">
        <v>7849</v>
      </c>
      <c r="P69" s="25">
        <v>6306</v>
      </c>
      <c r="Q69" s="31" t="s">
        <v>197</v>
      </c>
      <c r="R69" s="37">
        <v>45595</v>
      </c>
      <c r="S69" s="33">
        <v>45610</v>
      </c>
      <c r="T69" s="31" t="s">
        <v>28</v>
      </c>
      <c r="U69" s="31" t="s">
        <v>198</v>
      </c>
    </row>
    <row r="70" spans="1:21" x14ac:dyDescent="0.25">
      <c r="A70" s="24">
        <v>69</v>
      </c>
      <c r="B70" s="24"/>
      <c r="C70" s="24"/>
      <c r="D70" s="24" t="s">
        <v>83</v>
      </c>
      <c r="E70" s="24" t="s">
        <v>200</v>
      </c>
      <c r="F70" s="24"/>
      <c r="G70" s="24" t="s">
        <v>56</v>
      </c>
      <c r="H70" s="24" t="s">
        <v>150</v>
      </c>
      <c r="I70" s="24" t="s">
        <v>165</v>
      </c>
      <c r="J70" s="24" t="s">
        <v>155</v>
      </c>
      <c r="K70" s="24">
        <v>80</v>
      </c>
      <c r="L70" s="24" t="s">
        <v>167</v>
      </c>
      <c r="M70" s="24"/>
      <c r="N70" s="24"/>
      <c r="O70" s="24">
        <v>5074</v>
      </c>
      <c r="P70" s="27" t="s">
        <v>85</v>
      </c>
      <c r="Q70" s="29">
        <v>45556</v>
      </c>
      <c r="R70" s="29">
        <v>45570</v>
      </c>
      <c r="S70" s="29">
        <v>45577</v>
      </c>
      <c r="T70" s="31" t="s">
        <v>199</v>
      </c>
      <c r="U70" s="53" t="s">
        <v>228</v>
      </c>
    </row>
    <row r="71" spans="1:21" x14ac:dyDescent="0.25">
      <c r="A71" s="24">
        <v>70</v>
      </c>
      <c r="B71" s="24">
        <v>2514</v>
      </c>
      <c r="C71" s="24">
        <v>2514</v>
      </c>
      <c r="D71" s="24" t="s">
        <v>41</v>
      </c>
      <c r="E71" s="24" t="s">
        <v>42</v>
      </c>
      <c r="F71" s="24"/>
      <c r="G71" s="24" t="s">
        <v>43</v>
      </c>
      <c r="H71" s="24" t="s">
        <v>150</v>
      </c>
      <c r="I71" s="24" t="s">
        <v>165</v>
      </c>
      <c r="J71" s="24" t="s">
        <v>154</v>
      </c>
      <c r="K71" s="58">
        <v>100</v>
      </c>
      <c r="L71" s="24" t="s">
        <v>201</v>
      </c>
      <c r="M71" s="24"/>
      <c r="N71" s="24"/>
      <c r="O71" s="24">
        <v>6250</v>
      </c>
      <c r="P71" s="27" t="s">
        <v>85</v>
      </c>
      <c r="Q71" s="29">
        <v>45558</v>
      </c>
      <c r="R71" s="29">
        <v>45573</v>
      </c>
      <c r="S71" s="29">
        <v>45582</v>
      </c>
      <c r="T71" s="31" t="s">
        <v>199</v>
      </c>
      <c r="U71" s="53" t="s">
        <v>228</v>
      </c>
    </row>
    <row r="72" spans="1:21" x14ac:dyDescent="0.25">
      <c r="A72" s="24">
        <v>71</v>
      </c>
      <c r="B72" s="24">
        <v>2514</v>
      </c>
      <c r="C72" s="24">
        <v>2514</v>
      </c>
      <c r="D72" s="24" t="s">
        <v>41</v>
      </c>
      <c r="E72" s="24" t="s">
        <v>42</v>
      </c>
      <c r="F72" s="24"/>
      <c r="G72" s="24" t="s">
        <v>43</v>
      </c>
      <c r="H72" s="24" t="s">
        <v>150</v>
      </c>
      <c r="I72" s="24" t="s">
        <v>165</v>
      </c>
      <c r="J72" s="24" t="s">
        <v>154</v>
      </c>
      <c r="K72" s="58">
        <v>100</v>
      </c>
      <c r="L72" s="24" t="s">
        <v>201</v>
      </c>
      <c r="M72" s="24"/>
      <c r="N72" s="24"/>
      <c r="O72" s="24">
        <v>6250</v>
      </c>
      <c r="P72" s="27" t="s">
        <v>85</v>
      </c>
      <c r="Q72" s="29">
        <v>45558</v>
      </c>
      <c r="R72" s="29">
        <v>45573</v>
      </c>
      <c r="S72" s="29">
        <v>45582</v>
      </c>
      <c r="T72" s="31" t="s">
        <v>199</v>
      </c>
      <c r="U72" s="53" t="s">
        <v>228</v>
      </c>
    </row>
    <row r="73" spans="1:21" x14ac:dyDescent="0.25">
      <c r="A73" s="24">
        <v>72</v>
      </c>
      <c r="B73" s="24">
        <v>1706794</v>
      </c>
      <c r="C73" s="24">
        <v>1281428</v>
      </c>
      <c r="D73" s="24" t="s">
        <v>202</v>
      </c>
      <c r="E73" s="24" t="s">
        <v>42</v>
      </c>
      <c r="F73" s="24"/>
      <c r="G73" s="24" t="s">
        <v>8</v>
      </c>
      <c r="H73" s="24" t="s">
        <v>150</v>
      </c>
      <c r="I73" s="24" t="s">
        <v>153</v>
      </c>
      <c r="J73" s="24" t="s">
        <v>177</v>
      </c>
      <c r="K73" s="24">
        <v>120</v>
      </c>
      <c r="L73" s="24" t="s">
        <v>167</v>
      </c>
      <c r="M73" s="24"/>
      <c r="N73" s="24"/>
      <c r="O73" s="24">
        <v>8943</v>
      </c>
      <c r="P73" s="27">
        <v>9033</v>
      </c>
      <c r="Q73" s="29">
        <v>45561</v>
      </c>
      <c r="R73" s="29">
        <v>45606</v>
      </c>
      <c r="S73" s="29">
        <v>45575</v>
      </c>
      <c r="T73" s="31" t="s">
        <v>199</v>
      </c>
      <c r="U73" s="53" t="s">
        <v>228</v>
      </c>
    </row>
    <row r="74" spans="1:21" x14ac:dyDescent="0.25">
      <c r="A74" s="13">
        <v>73</v>
      </c>
      <c r="B74" s="13">
        <v>1704621</v>
      </c>
      <c r="C74" s="13">
        <v>1280197</v>
      </c>
      <c r="D74" s="13" t="s">
        <v>203</v>
      </c>
      <c r="E74" s="13" t="s">
        <v>204</v>
      </c>
      <c r="F74" s="13"/>
      <c r="G74" s="13" t="s">
        <v>8</v>
      </c>
      <c r="H74" s="13" t="s">
        <v>157</v>
      </c>
      <c r="I74" s="13" t="s">
        <v>189</v>
      </c>
      <c r="J74" s="13"/>
      <c r="K74" s="13"/>
      <c r="L74" s="13"/>
      <c r="M74" s="13"/>
      <c r="N74" s="4"/>
      <c r="O74" s="13">
        <v>8349</v>
      </c>
      <c r="P74" s="15">
        <v>8433</v>
      </c>
      <c r="Q74" s="30">
        <v>45561</v>
      </c>
      <c r="R74" s="30">
        <v>45606</v>
      </c>
      <c r="S74" s="13"/>
      <c r="T74" s="13"/>
      <c r="U74" s="11" t="s">
        <v>193</v>
      </c>
    </row>
    <row r="75" spans="1:21" x14ac:dyDescent="0.25">
      <c r="A75" s="24">
        <v>74</v>
      </c>
      <c r="B75" s="24">
        <v>240078066</v>
      </c>
      <c r="C75" s="24"/>
      <c r="D75" s="24" t="s">
        <v>31</v>
      </c>
      <c r="E75" s="24" t="s">
        <v>230</v>
      </c>
      <c r="F75" s="24"/>
      <c r="G75" s="24" t="s">
        <v>52</v>
      </c>
      <c r="H75" s="24" t="s">
        <v>205</v>
      </c>
      <c r="I75" s="24" t="s">
        <v>206</v>
      </c>
      <c r="J75" s="24"/>
      <c r="K75" s="24"/>
      <c r="L75" s="24"/>
      <c r="M75" s="24" t="s">
        <v>220</v>
      </c>
      <c r="N75" s="24"/>
      <c r="O75" s="24">
        <v>14950</v>
      </c>
      <c r="P75" s="27" t="s">
        <v>16</v>
      </c>
      <c r="Q75" s="29">
        <v>45561</v>
      </c>
      <c r="R75" s="29">
        <v>45579</v>
      </c>
      <c r="S75" s="37">
        <v>45578</v>
      </c>
      <c r="T75" s="31" t="s">
        <v>199</v>
      </c>
      <c r="U75" s="31" t="s">
        <v>198</v>
      </c>
    </row>
    <row r="76" spans="1:21" x14ac:dyDescent="0.25">
      <c r="A76" s="10">
        <v>75</v>
      </c>
      <c r="B76" s="51">
        <v>240077789</v>
      </c>
      <c r="C76" s="10"/>
      <c r="D76" s="10" t="s">
        <v>31</v>
      </c>
      <c r="E76" s="10"/>
      <c r="F76" s="10"/>
      <c r="G76" s="10" t="s">
        <v>52</v>
      </c>
      <c r="H76" s="10" t="s">
        <v>150</v>
      </c>
      <c r="I76" s="10" t="s">
        <v>165</v>
      </c>
      <c r="J76" s="10" t="s">
        <v>154</v>
      </c>
      <c r="K76" s="10">
        <v>100</v>
      </c>
      <c r="L76" s="10" t="s">
        <v>207</v>
      </c>
      <c r="M76" s="10"/>
      <c r="N76" s="10"/>
      <c r="O76" s="10">
        <v>9208</v>
      </c>
      <c r="P76" s="12">
        <v>9608</v>
      </c>
      <c r="Q76" s="16">
        <v>45561</v>
      </c>
      <c r="R76" s="16">
        <v>45579</v>
      </c>
      <c r="S76" s="10"/>
      <c r="T76" s="11"/>
      <c r="U76" s="11" t="s">
        <v>223</v>
      </c>
    </row>
    <row r="77" spans="1:21" x14ac:dyDescent="0.25">
      <c r="A77" s="24">
        <v>76</v>
      </c>
      <c r="B77" s="90">
        <v>240078390</v>
      </c>
      <c r="C77" s="24"/>
      <c r="D77" s="24" t="s">
        <v>31</v>
      </c>
      <c r="E77" s="24"/>
      <c r="F77" s="24"/>
      <c r="G77" s="24" t="s">
        <v>52</v>
      </c>
      <c r="H77" s="24" t="s">
        <v>150</v>
      </c>
      <c r="I77" s="24" t="s">
        <v>153</v>
      </c>
      <c r="J77" s="24" t="s">
        <v>156</v>
      </c>
      <c r="K77" s="24">
        <v>120</v>
      </c>
      <c r="L77" s="24" t="s">
        <v>167</v>
      </c>
      <c r="M77" s="24"/>
      <c r="N77" s="24"/>
      <c r="O77" s="24">
        <v>7433</v>
      </c>
      <c r="P77" s="27" t="s">
        <v>16</v>
      </c>
      <c r="Q77" s="29">
        <v>45564</v>
      </c>
      <c r="R77" s="29">
        <v>45585</v>
      </c>
      <c r="S77" s="37">
        <v>45586</v>
      </c>
      <c r="T77" s="31" t="s">
        <v>199</v>
      </c>
      <c r="U77" s="31" t="s">
        <v>198</v>
      </c>
    </row>
    <row r="78" spans="1:21" x14ac:dyDescent="0.25">
      <c r="A78" s="24">
        <v>77</v>
      </c>
      <c r="B78" s="24"/>
      <c r="C78" s="24"/>
      <c r="D78" s="24" t="s">
        <v>83</v>
      </c>
      <c r="E78" s="24" t="s">
        <v>200</v>
      </c>
      <c r="F78" s="24"/>
      <c r="G78" s="24" t="s">
        <v>56</v>
      </c>
      <c r="H78" s="24" t="s">
        <v>150</v>
      </c>
      <c r="I78" s="24" t="s">
        <v>153</v>
      </c>
      <c r="J78" s="24" t="s">
        <v>177</v>
      </c>
      <c r="K78" s="24">
        <v>120</v>
      </c>
      <c r="L78" s="24" t="s">
        <v>167</v>
      </c>
      <c r="M78" s="24"/>
      <c r="N78" s="24"/>
      <c r="O78" s="24">
        <v>4020</v>
      </c>
      <c r="P78" s="27" t="s">
        <v>85</v>
      </c>
      <c r="Q78" s="29">
        <v>45564</v>
      </c>
      <c r="R78" s="29">
        <v>45577</v>
      </c>
      <c r="S78" s="29">
        <v>45577</v>
      </c>
      <c r="T78" s="31" t="s">
        <v>199</v>
      </c>
      <c r="U78" s="53" t="s">
        <v>228</v>
      </c>
    </row>
    <row r="79" spans="1:21" x14ac:dyDescent="0.25">
      <c r="A79" s="24">
        <v>78</v>
      </c>
      <c r="B79" s="24"/>
      <c r="C79" s="24"/>
      <c r="D79" s="24" t="s">
        <v>210</v>
      </c>
      <c r="E79" s="24" t="s">
        <v>211</v>
      </c>
      <c r="F79" s="24"/>
      <c r="G79" s="24" t="s">
        <v>212</v>
      </c>
      <c r="H79" s="24" t="s">
        <v>150</v>
      </c>
      <c r="I79" s="24" t="s">
        <v>165</v>
      </c>
      <c r="J79" s="24" t="s">
        <v>213</v>
      </c>
      <c r="K79" s="24">
        <v>100</v>
      </c>
      <c r="L79" s="24" t="s">
        <v>214</v>
      </c>
      <c r="M79" s="24"/>
      <c r="N79" s="24"/>
      <c r="O79" s="24">
        <v>8544.9054400000005</v>
      </c>
      <c r="P79" s="27"/>
      <c r="Q79" s="29">
        <v>45566</v>
      </c>
      <c r="R79" s="29">
        <v>45574</v>
      </c>
      <c r="S79" s="29">
        <v>45574</v>
      </c>
      <c r="T79" s="24" t="s">
        <v>227</v>
      </c>
      <c r="U79" s="31" t="s">
        <v>198</v>
      </c>
    </row>
    <row r="80" spans="1:21" ht="21" x14ac:dyDescent="0.35">
      <c r="A80" s="24">
        <v>79</v>
      </c>
      <c r="B80" s="24"/>
      <c r="C80" s="24"/>
      <c r="D80" s="24" t="s">
        <v>210</v>
      </c>
      <c r="E80" s="24" t="s">
        <v>211</v>
      </c>
      <c r="F80" s="24"/>
      <c r="G80" s="24" t="s">
        <v>212</v>
      </c>
      <c r="H80" s="24" t="s">
        <v>150</v>
      </c>
      <c r="I80" s="24" t="s">
        <v>151</v>
      </c>
      <c r="J80" s="24"/>
      <c r="K80" s="24"/>
      <c r="L80" s="24" t="s">
        <v>217</v>
      </c>
      <c r="M80" s="24" t="s">
        <v>218</v>
      </c>
      <c r="N80" s="24"/>
      <c r="O80" s="52">
        <v>4600</v>
      </c>
      <c r="P80" s="27"/>
      <c r="Q80" s="29">
        <v>45566</v>
      </c>
      <c r="R80" s="29">
        <v>45574</v>
      </c>
      <c r="S80" s="29">
        <v>45574</v>
      </c>
      <c r="T80" s="24" t="s">
        <v>227</v>
      </c>
      <c r="U80" s="31" t="s">
        <v>198</v>
      </c>
    </row>
    <row r="81" spans="1:21" x14ac:dyDescent="0.25">
      <c r="A81" s="24">
        <v>80</v>
      </c>
      <c r="B81" s="24"/>
      <c r="C81" s="24"/>
      <c r="D81" s="24" t="s">
        <v>210</v>
      </c>
      <c r="E81" s="24" t="s">
        <v>211</v>
      </c>
      <c r="F81" s="24"/>
      <c r="G81" s="24" t="s">
        <v>212</v>
      </c>
      <c r="H81" s="24" t="s">
        <v>205</v>
      </c>
      <c r="I81" s="24" t="s">
        <v>215</v>
      </c>
      <c r="J81" s="24"/>
      <c r="K81" s="24"/>
      <c r="L81" s="24" t="s">
        <v>168</v>
      </c>
      <c r="M81" s="24" t="s">
        <v>216</v>
      </c>
      <c r="N81" s="24"/>
      <c r="O81" s="24">
        <v>10000</v>
      </c>
      <c r="P81" s="27"/>
      <c r="Q81" s="29">
        <v>45566</v>
      </c>
      <c r="R81" s="29">
        <v>45574</v>
      </c>
      <c r="S81" s="29">
        <v>45574</v>
      </c>
      <c r="T81" s="24" t="s">
        <v>227</v>
      </c>
      <c r="U81" s="31" t="s">
        <v>198</v>
      </c>
    </row>
    <row r="82" spans="1:21" x14ac:dyDescent="0.25">
      <c r="A82" s="24">
        <v>81</v>
      </c>
      <c r="B82" s="24"/>
      <c r="C82" s="24"/>
      <c r="D82" s="24" t="s">
        <v>210</v>
      </c>
      <c r="E82" s="24" t="s">
        <v>211</v>
      </c>
      <c r="F82" s="24"/>
      <c r="G82" s="24" t="s">
        <v>212</v>
      </c>
      <c r="H82" s="24" t="s">
        <v>219</v>
      </c>
      <c r="I82" s="24"/>
      <c r="J82" s="24"/>
      <c r="K82" s="24"/>
      <c r="L82" s="24" t="s">
        <v>168</v>
      </c>
      <c r="M82" s="24" t="s">
        <v>220</v>
      </c>
      <c r="N82" s="24"/>
      <c r="O82" s="24"/>
      <c r="P82" s="27"/>
      <c r="Q82" s="29">
        <v>45566</v>
      </c>
      <c r="R82" s="29">
        <v>45574</v>
      </c>
      <c r="S82" s="29">
        <v>45574</v>
      </c>
      <c r="T82" s="24" t="s">
        <v>227</v>
      </c>
      <c r="U82" s="31" t="s">
        <v>198</v>
      </c>
    </row>
    <row r="83" spans="1:21" x14ac:dyDescent="0.25">
      <c r="A83" s="10">
        <v>82</v>
      </c>
      <c r="B83" s="10">
        <v>1282228</v>
      </c>
      <c r="C83" s="10">
        <v>1708226</v>
      </c>
      <c r="D83" s="10" t="s">
        <v>221</v>
      </c>
      <c r="E83" s="10" t="s">
        <v>222</v>
      </c>
      <c r="F83" s="10"/>
      <c r="G83" s="10" t="s">
        <v>8</v>
      </c>
      <c r="H83" s="10" t="s">
        <v>150</v>
      </c>
      <c r="I83" s="10" t="s">
        <v>151</v>
      </c>
      <c r="J83" s="10"/>
      <c r="K83" s="10"/>
      <c r="L83" s="10" t="s">
        <v>168</v>
      </c>
      <c r="M83" s="10" t="s">
        <v>168</v>
      </c>
      <c r="N83" s="10"/>
      <c r="O83" s="10">
        <v>8899</v>
      </c>
      <c r="P83" s="12">
        <v>8988</v>
      </c>
      <c r="Q83" s="16">
        <v>45568</v>
      </c>
      <c r="R83" s="16">
        <v>45613</v>
      </c>
      <c r="S83" s="10"/>
      <c r="T83" s="11"/>
      <c r="U83" s="11"/>
    </row>
    <row r="84" spans="1:21" x14ac:dyDescent="0.25">
      <c r="A84" s="24">
        <v>83</v>
      </c>
      <c r="B84" s="90">
        <v>240079328</v>
      </c>
      <c r="C84" s="24"/>
      <c r="D84" s="24" t="s">
        <v>31</v>
      </c>
      <c r="E84" s="24" t="s">
        <v>224</v>
      </c>
      <c r="F84" s="24"/>
      <c r="G84" s="24" t="s">
        <v>31</v>
      </c>
      <c r="H84" s="24" t="s">
        <v>225</v>
      </c>
      <c r="I84" s="24" t="s">
        <v>206</v>
      </c>
      <c r="J84" s="24"/>
      <c r="K84" s="24"/>
      <c r="L84" s="24" t="s">
        <v>207</v>
      </c>
      <c r="M84" s="24" t="s">
        <v>226</v>
      </c>
      <c r="N84" s="24"/>
      <c r="O84" s="24">
        <v>14550</v>
      </c>
      <c r="P84" s="27" t="s">
        <v>16</v>
      </c>
      <c r="Q84" s="29">
        <v>45573</v>
      </c>
      <c r="R84" s="29">
        <v>45594</v>
      </c>
      <c r="S84" s="47">
        <v>45595</v>
      </c>
      <c r="T84" s="31" t="s">
        <v>199</v>
      </c>
      <c r="U84" s="31" t="s">
        <v>198</v>
      </c>
    </row>
    <row r="85" spans="1:21" x14ac:dyDescent="0.25">
      <c r="A85" s="24">
        <v>84</v>
      </c>
      <c r="B85" s="90">
        <v>240078933</v>
      </c>
      <c r="C85" s="24"/>
      <c r="D85" s="24" t="s">
        <v>31</v>
      </c>
      <c r="E85" s="24" t="s">
        <v>229</v>
      </c>
      <c r="F85" s="24"/>
      <c r="G85" s="24" t="s">
        <v>52</v>
      </c>
      <c r="H85" s="24" t="s">
        <v>161</v>
      </c>
      <c r="I85" s="24" t="s">
        <v>206</v>
      </c>
      <c r="J85" s="24"/>
      <c r="K85" s="24"/>
      <c r="L85" s="24" t="s">
        <v>207</v>
      </c>
      <c r="M85" s="24" t="s">
        <v>226</v>
      </c>
      <c r="N85" s="24"/>
      <c r="O85" s="24">
        <v>14550</v>
      </c>
      <c r="P85" s="27" t="s">
        <v>16</v>
      </c>
      <c r="Q85" s="29">
        <v>45572</v>
      </c>
      <c r="R85" s="29">
        <v>45594</v>
      </c>
      <c r="S85" s="37">
        <v>45580</v>
      </c>
      <c r="T85" s="31" t="s">
        <v>199</v>
      </c>
      <c r="U85" s="31" t="s">
        <v>198</v>
      </c>
    </row>
    <row r="86" spans="1:21" x14ac:dyDescent="0.25">
      <c r="A86" s="24">
        <v>85</v>
      </c>
      <c r="B86" s="24">
        <v>240079517</v>
      </c>
      <c r="C86" s="24"/>
      <c r="D86" s="24" t="s">
        <v>31</v>
      </c>
      <c r="E86" s="24"/>
      <c r="F86" s="24"/>
      <c r="G86" s="24" t="s">
        <v>31</v>
      </c>
      <c r="H86" s="24" t="s">
        <v>225</v>
      </c>
      <c r="I86" s="24" t="s">
        <v>206</v>
      </c>
      <c r="J86" s="24"/>
      <c r="K86" s="24"/>
      <c r="L86" s="24" t="s">
        <v>207</v>
      </c>
      <c r="M86" s="24" t="s">
        <v>220</v>
      </c>
      <c r="N86" s="24"/>
      <c r="O86" s="24">
        <v>14550</v>
      </c>
      <c r="P86" s="27">
        <v>11495</v>
      </c>
      <c r="Q86" s="29">
        <v>45575</v>
      </c>
      <c r="R86" s="29">
        <v>45596</v>
      </c>
      <c r="S86" s="29">
        <v>45598</v>
      </c>
      <c r="T86" s="31" t="s">
        <v>199</v>
      </c>
      <c r="U86" s="31" t="s">
        <v>198</v>
      </c>
    </row>
    <row r="87" spans="1:21" x14ac:dyDescent="0.25">
      <c r="A87" s="24">
        <v>86</v>
      </c>
      <c r="B87" s="24">
        <v>1714623</v>
      </c>
      <c r="C87" s="24">
        <v>1284697</v>
      </c>
      <c r="D87" s="24" t="s">
        <v>231</v>
      </c>
      <c r="E87" s="24" t="s">
        <v>102</v>
      </c>
      <c r="F87" s="24"/>
      <c r="G87" s="24" t="s">
        <v>8</v>
      </c>
      <c r="H87" s="24" t="s">
        <v>150</v>
      </c>
      <c r="I87" s="24" t="s">
        <v>165</v>
      </c>
      <c r="J87" s="24" t="s">
        <v>232</v>
      </c>
      <c r="K87" s="24" t="s">
        <v>233</v>
      </c>
      <c r="L87" s="24" t="s">
        <v>234</v>
      </c>
      <c r="M87" s="24"/>
      <c r="N87" s="24"/>
      <c r="O87" s="24">
        <v>12899</v>
      </c>
      <c r="P87" s="27">
        <v>13028</v>
      </c>
      <c r="Q87" s="29">
        <v>45578</v>
      </c>
      <c r="R87" s="29">
        <v>45643</v>
      </c>
      <c r="S87" s="29">
        <v>45598</v>
      </c>
      <c r="T87" s="31" t="s">
        <v>199</v>
      </c>
      <c r="U87" s="31" t="s">
        <v>198</v>
      </c>
    </row>
    <row r="88" spans="1:21" ht="18" x14ac:dyDescent="0.25">
      <c r="A88" s="24">
        <v>87</v>
      </c>
      <c r="B88" s="57">
        <v>1715473</v>
      </c>
      <c r="C88" s="57">
        <v>1285152</v>
      </c>
      <c r="D88" s="24" t="s">
        <v>235</v>
      </c>
      <c r="E88" s="24" t="s">
        <v>49</v>
      </c>
      <c r="F88" s="24"/>
      <c r="G88" s="24" t="s">
        <v>8</v>
      </c>
      <c r="H88" s="24" t="s">
        <v>150</v>
      </c>
      <c r="I88" s="24" t="s">
        <v>165</v>
      </c>
      <c r="J88" s="24" t="s">
        <v>155</v>
      </c>
      <c r="K88" s="58">
        <v>80</v>
      </c>
      <c r="L88" s="24" t="s">
        <v>167</v>
      </c>
      <c r="M88" s="24"/>
      <c r="N88" s="24"/>
      <c r="O88" s="24">
        <v>10499</v>
      </c>
      <c r="P88" s="27" t="s">
        <v>16</v>
      </c>
      <c r="Q88" s="29">
        <v>45581</v>
      </c>
      <c r="R88" s="29">
        <v>45645</v>
      </c>
      <c r="S88" s="37">
        <v>45586</v>
      </c>
      <c r="T88" s="31" t="s">
        <v>199</v>
      </c>
      <c r="U88" s="31" t="s">
        <v>198</v>
      </c>
    </row>
    <row r="89" spans="1:21" x14ac:dyDescent="0.25">
      <c r="A89" s="24">
        <v>89</v>
      </c>
      <c r="B89" s="24">
        <v>1715992</v>
      </c>
      <c r="C89" s="24">
        <v>1285423</v>
      </c>
      <c r="D89" s="24" t="s">
        <v>237</v>
      </c>
      <c r="E89" s="24" t="s">
        <v>238</v>
      </c>
      <c r="F89" s="24"/>
      <c r="G89" s="24" t="s">
        <v>8</v>
      </c>
      <c r="H89" s="24" t="s">
        <v>150</v>
      </c>
      <c r="I89" s="24" t="s">
        <v>165</v>
      </c>
      <c r="J89" s="24" t="s">
        <v>152</v>
      </c>
      <c r="K89" s="24" t="s">
        <v>239</v>
      </c>
      <c r="L89" s="24" t="s">
        <v>234</v>
      </c>
      <c r="M89" s="24"/>
      <c r="N89" s="24"/>
      <c r="O89" s="24">
        <v>12899</v>
      </c>
      <c r="P89" s="27" t="s">
        <v>16</v>
      </c>
      <c r="Q89" s="29">
        <v>45582</v>
      </c>
      <c r="R89" s="29">
        <v>45648</v>
      </c>
      <c r="S89" s="29">
        <v>45629</v>
      </c>
      <c r="T89" s="31" t="s">
        <v>28</v>
      </c>
      <c r="U89" s="31" t="s">
        <v>228</v>
      </c>
    </row>
    <row r="90" spans="1:21" x14ac:dyDescent="0.25">
      <c r="A90" s="24">
        <v>90</v>
      </c>
      <c r="B90" s="24" t="s">
        <v>241</v>
      </c>
      <c r="C90" s="32"/>
      <c r="D90" s="24" t="s">
        <v>240</v>
      </c>
      <c r="E90" s="24" t="s">
        <v>242</v>
      </c>
      <c r="F90" s="24">
        <v>1211691428</v>
      </c>
      <c r="G90" s="24" t="s">
        <v>243</v>
      </c>
      <c r="H90" s="24" t="s">
        <v>150</v>
      </c>
      <c r="I90" s="24" t="s">
        <v>153</v>
      </c>
      <c r="J90" s="24" t="s">
        <v>244</v>
      </c>
      <c r="K90" s="24">
        <v>140</v>
      </c>
      <c r="L90" s="24" t="s">
        <v>220</v>
      </c>
      <c r="M90" s="24" t="s">
        <v>245</v>
      </c>
      <c r="N90" s="24"/>
      <c r="O90" s="24">
        <v>5135</v>
      </c>
      <c r="P90" s="27" t="s">
        <v>16</v>
      </c>
      <c r="Q90" s="29">
        <v>45585</v>
      </c>
      <c r="R90" s="29">
        <v>45613</v>
      </c>
      <c r="S90" s="29">
        <v>45610</v>
      </c>
      <c r="T90" s="31" t="s">
        <v>199</v>
      </c>
      <c r="U90" s="31" t="s">
        <v>198</v>
      </c>
    </row>
    <row r="91" spans="1:21" x14ac:dyDescent="0.25">
      <c r="A91" s="24">
        <v>91</v>
      </c>
      <c r="B91" s="24">
        <v>240080607</v>
      </c>
      <c r="C91" s="24"/>
      <c r="D91" s="24" t="s">
        <v>31</v>
      </c>
      <c r="E91" s="24" t="s">
        <v>204</v>
      </c>
      <c r="F91" s="24"/>
      <c r="G91" s="24" t="s">
        <v>52</v>
      </c>
      <c r="H91" s="24" t="s">
        <v>150</v>
      </c>
      <c r="I91" s="24" t="s">
        <v>165</v>
      </c>
      <c r="J91" s="24" t="s">
        <v>246</v>
      </c>
      <c r="K91" s="24">
        <v>100</v>
      </c>
      <c r="L91" s="24" t="s">
        <v>247</v>
      </c>
      <c r="M91" s="24"/>
      <c r="N91" s="24"/>
      <c r="O91" s="24">
        <v>12777.5</v>
      </c>
      <c r="P91" s="27">
        <v>11277.5</v>
      </c>
      <c r="Q91" s="29">
        <v>45587</v>
      </c>
      <c r="R91" s="29">
        <v>45608</v>
      </c>
      <c r="S91" s="29">
        <v>45614</v>
      </c>
      <c r="T91" s="31" t="s">
        <v>199</v>
      </c>
      <c r="U91" s="31" t="s">
        <v>198</v>
      </c>
    </row>
    <row r="92" spans="1:21" x14ac:dyDescent="0.25">
      <c r="A92" s="24">
        <v>92</v>
      </c>
      <c r="B92" s="24">
        <v>240080607</v>
      </c>
      <c r="C92" s="24"/>
      <c r="D92" s="24" t="s">
        <v>31</v>
      </c>
      <c r="E92" s="24" t="s">
        <v>204</v>
      </c>
      <c r="F92" s="24"/>
      <c r="G92" s="24" t="s">
        <v>52</v>
      </c>
      <c r="H92" s="24" t="s">
        <v>150</v>
      </c>
      <c r="I92" s="24" t="s">
        <v>165</v>
      </c>
      <c r="J92" s="24" t="s">
        <v>246</v>
      </c>
      <c r="K92" s="24">
        <v>100</v>
      </c>
      <c r="L92" s="24" t="s">
        <v>247</v>
      </c>
      <c r="M92" s="24"/>
      <c r="N92" s="24"/>
      <c r="O92" s="24">
        <v>12777.5</v>
      </c>
      <c r="P92" s="27">
        <v>11277.5</v>
      </c>
      <c r="Q92" s="29">
        <v>45587</v>
      </c>
      <c r="R92" s="29">
        <v>45608</v>
      </c>
      <c r="S92" s="29">
        <v>45614</v>
      </c>
      <c r="T92" s="31" t="s">
        <v>199</v>
      </c>
      <c r="U92" s="31" t="s">
        <v>198</v>
      </c>
    </row>
    <row r="93" spans="1:21" x14ac:dyDescent="0.25">
      <c r="A93" s="10">
        <v>93</v>
      </c>
      <c r="B93" s="10"/>
      <c r="C93" s="10"/>
      <c r="D93" s="10" t="s">
        <v>83</v>
      </c>
      <c r="E93" s="10" t="s">
        <v>248</v>
      </c>
      <c r="F93" s="10"/>
      <c r="G93" s="10" t="s">
        <v>56</v>
      </c>
      <c r="H93" s="10" t="s">
        <v>150</v>
      </c>
      <c r="I93" s="10" t="s">
        <v>165</v>
      </c>
      <c r="J93" s="10" t="s">
        <v>246</v>
      </c>
      <c r="K93" s="10">
        <v>100</v>
      </c>
      <c r="L93" s="10" t="s">
        <v>247</v>
      </c>
      <c r="M93" s="10"/>
      <c r="N93" s="10"/>
      <c r="O93" s="10">
        <v>8544.91</v>
      </c>
      <c r="P93" s="12" t="s">
        <v>85</v>
      </c>
      <c r="Q93" s="16">
        <v>45587</v>
      </c>
      <c r="R93" s="10" t="s">
        <v>249</v>
      </c>
      <c r="S93" s="10"/>
      <c r="T93" s="11"/>
      <c r="U93" s="11" t="s">
        <v>274</v>
      </c>
    </row>
    <row r="94" spans="1:21" x14ac:dyDescent="0.25">
      <c r="A94" s="24">
        <v>94</v>
      </c>
      <c r="B94" s="24">
        <v>1717458</v>
      </c>
      <c r="C94" s="24">
        <v>1286189</v>
      </c>
      <c r="D94" s="24" t="s">
        <v>250</v>
      </c>
      <c r="E94" s="24" t="s">
        <v>251</v>
      </c>
      <c r="F94" s="24"/>
      <c r="G94" s="24" t="s">
        <v>8</v>
      </c>
      <c r="H94" s="24" t="s">
        <v>150</v>
      </c>
      <c r="I94" s="24" t="s">
        <v>153</v>
      </c>
      <c r="J94" s="24" t="s">
        <v>177</v>
      </c>
      <c r="K94" s="24">
        <v>120</v>
      </c>
      <c r="L94" s="24" t="s">
        <v>167</v>
      </c>
      <c r="M94" s="24"/>
      <c r="N94" s="24"/>
      <c r="O94" s="24">
        <v>8943</v>
      </c>
      <c r="P94" s="27">
        <v>9007.01</v>
      </c>
      <c r="Q94" s="29">
        <v>45586</v>
      </c>
      <c r="R94" s="29">
        <v>45610</v>
      </c>
      <c r="S94" s="29">
        <v>45614</v>
      </c>
      <c r="T94" s="31" t="s">
        <v>199</v>
      </c>
      <c r="U94" s="31" t="s">
        <v>198</v>
      </c>
    </row>
    <row r="95" spans="1:21" x14ac:dyDescent="0.25">
      <c r="A95" s="24">
        <v>95</v>
      </c>
      <c r="B95" s="90">
        <v>240080858</v>
      </c>
      <c r="C95" s="24"/>
      <c r="D95" s="24" t="s">
        <v>31</v>
      </c>
      <c r="E95" s="24"/>
      <c r="F95" s="24"/>
      <c r="G95" s="24" t="s">
        <v>52</v>
      </c>
      <c r="H95" s="24" t="s">
        <v>205</v>
      </c>
      <c r="I95" s="24" t="s">
        <v>206</v>
      </c>
      <c r="J95" s="24"/>
      <c r="K95" s="24"/>
      <c r="L95" s="24" t="s">
        <v>168</v>
      </c>
      <c r="M95" s="24"/>
      <c r="N95" s="24"/>
      <c r="O95" s="24">
        <v>15516</v>
      </c>
      <c r="P95" s="27" t="s">
        <v>16</v>
      </c>
      <c r="Q95" s="29">
        <v>45589</v>
      </c>
      <c r="R95" s="29">
        <v>45610</v>
      </c>
      <c r="S95" s="47">
        <v>45595</v>
      </c>
      <c r="T95" s="31" t="s">
        <v>199</v>
      </c>
      <c r="U95" s="31" t="s">
        <v>198</v>
      </c>
    </row>
    <row r="96" spans="1:21" x14ac:dyDescent="0.25">
      <c r="A96" s="10">
        <v>96</v>
      </c>
      <c r="B96" s="51">
        <v>240081061</v>
      </c>
      <c r="C96" s="10"/>
      <c r="D96" s="10" t="s">
        <v>31</v>
      </c>
      <c r="E96" s="10"/>
      <c r="F96" s="10"/>
      <c r="G96" s="10" t="s">
        <v>52</v>
      </c>
      <c r="H96" s="10" t="s">
        <v>150</v>
      </c>
      <c r="I96" s="10" t="s">
        <v>165</v>
      </c>
      <c r="J96" s="10" t="s">
        <v>154</v>
      </c>
      <c r="K96" s="10">
        <v>100</v>
      </c>
      <c r="L96" s="10" t="s">
        <v>168</v>
      </c>
      <c r="M96" s="10"/>
      <c r="N96" s="10"/>
      <c r="O96" s="10">
        <v>10045</v>
      </c>
      <c r="P96" s="12">
        <v>8879</v>
      </c>
      <c r="Q96" s="16">
        <v>45591</v>
      </c>
      <c r="R96" s="16">
        <v>45612</v>
      </c>
      <c r="S96" s="16"/>
      <c r="T96" s="11"/>
      <c r="U96" s="11" t="s">
        <v>236</v>
      </c>
    </row>
    <row r="97" spans="1:21" ht="18" x14ac:dyDescent="0.25">
      <c r="A97" s="24">
        <v>97</v>
      </c>
      <c r="B97" s="57">
        <v>1718948</v>
      </c>
      <c r="C97" s="57">
        <v>1286883</v>
      </c>
      <c r="D97" s="24" t="s">
        <v>131</v>
      </c>
      <c r="E97" s="24" t="s">
        <v>252</v>
      </c>
      <c r="F97" s="24"/>
      <c r="G97" s="24" t="s">
        <v>8</v>
      </c>
      <c r="H97" s="24" t="s">
        <v>150</v>
      </c>
      <c r="I97" s="24" t="s">
        <v>165</v>
      </c>
      <c r="J97" s="24" t="s">
        <v>154</v>
      </c>
      <c r="K97" s="24">
        <v>90</v>
      </c>
      <c r="L97" s="24" t="s">
        <v>168</v>
      </c>
      <c r="M97" s="24"/>
      <c r="N97" s="24"/>
      <c r="O97" s="24">
        <v>11649</v>
      </c>
      <c r="P97" s="27">
        <v>11749</v>
      </c>
      <c r="Q97" s="29">
        <v>45591</v>
      </c>
      <c r="R97" s="29">
        <v>45606</v>
      </c>
      <c r="S97" s="29">
        <v>45614</v>
      </c>
      <c r="T97" s="31" t="s">
        <v>199</v>
      </c>
      <c r="U97" s="31" t="s">
        <v>198</v>
      </c>
    </row>
    <row r="98" spans="1:21" ht="18" x14ac:dyDescent="0.25">
      <c r="A98" s="24">
        <v>98</v>
      </c>
      <c r="B98" s="57">
        <v>1718949</v>
      </c>
      <c r="C98" s="57">
        <v>1286883</v>
      </c>
      <c r="D98" s="24" t="s">
        <v>131</v>
      </c>
      <c r="E98" s="24" t="s">
        <v>252</v>
      </c>
      <c r="F98" s="24"/>
      <c r="G98" s="24" t="s">
        <v>8</v>
      </c>
      <c r="H98" s="24" t="s">
        <v>150</v>
      </c>
      <c r="I98" s="24" t="s">
        <v>165</v>
      </c>
      <c r="J98" s="24" t="s">
        <v>154</v>
      </c>
      <c r="K98" s="24">
        <v>90</v>
      </c>
      <c r="L98" s="24" t="s">
        <v>168</v>
      </c>
      <c r="M98" s="24"/>
      <c r="N98" s="24"/>
      <c r="O98" s="24">
        <v>11649</v>
      </c>
      <c r="P98" s="27">
        <v>11749</v>
      </c>
      <c r="Q98" s="29">
        <v>45591</v>
      </c>
      <c r="R98" s="29">
        <v>45606</v>
      </c>
      <c r="S98" s="29">
        <v>45614</v>
      </c>
      <c r="T98" s="31" t="s">
        <v>199</v>
      </c>
      <c r="U98" s="31" t="s">
        <v>198</v>
      </c>
    </row>
    <row r="99" spans="1:21" x14ac:dyDescent="0.25">
      <c r="A99" s="24">
        <v>99</v>
      </c>
      <c r="B99" s="24"/>
      <c r="C99" s="24"/>
      <c r="D99" s="24" t="s">
        <v>253</v>
      </c>
      <c r="E99" s="24" t="s">
        <v>107</v>
      </c>
      <c r="F99" s="24"/>
      <c r="G99" s="24" t="s">
        <v>254</v>
      </c>
      <c r="H99" s="24" t="s">
        <v>150</v>
      </c>
      <c r="I99" s="24" t="s">
        <v>153</v>
      </c>
      <c r="J99" s="24" t="s">
        <v>156</v>
      </c>
      <c r="K99" s="24">
        <v>100</v>
      </c>
      <c r="L99" s="24" t="s">
        <v>167</v>
      </c>
      <c r="M99" s="24"/>
      <c r="N99" s="24"/>
      <c r="O99" s="24" t="s">
        <v>255</v>
      </c>
      <c r="P99" s="27">
        <v>4800</v>
      </c>
      <c r="Q99" s="29">
        <v>45593</v>
      </c>
      <c r="R99" s="29">
        <v>45607</v>
      </c>
      <c r="S99" s="29">
        <v>45617</v>
      </c>
      <c r="T99" s="31" t="s">
        <v>199</v>
      </c>
      <c r="U99" s="31" t="s">
        <v>198</v>
      </c>
    </row>
    <row r="100" spans="1:21" x14ac:dyDescent="0.25">
      <c r="A100" s="24">
        <v>100</v>
      </c>
      <c r="B100" s="24"/>
      <c r="C100" s="24"/>
      <c r="D100" s="24" t="s">
        <v>253</v>
      </c>
      <c r="E100" s="24" t="s">
        <v>107</v>
      </c>
      <c r="F100" s="24"/>
      <c r="G100" s="24" t="s">
        <v>254</v>
      </c>
      <c r="H100" s="24" t="s">
        <v>150</v>
      </c>
      <c r="I100" s="24" t="s">
        <v>153</v>
      </c>
      <c r="J100" s="24" t="s">
        <v>156</v>
      </c>
      <c r="K100" s="24">
        <v>120</v>
      </c>
      <c r="L100" s="24" t="s">
        <v>167</v>
      </c>
      <c r="M100" s="24"/>
      <c r="N100" s="24"/>
      <c r="O100" s="24" t="s">
        <v>256</v>
      </c>
      <c r="P100" s="27">
        <v>4800</v>
      </c>
      <c r="Q100" s="29">
        <v>45593</v>
      </c>
      <c r="R100" s="29">
        <v>45607</v>
      </c>
      <c r="S100" s="29">
        <v>45617</v>
      </c>
      <c r="T100" s="31" t="s">
        <v>199</v>
      </c>
      <c r="U100" s="31" t="s">
        <v>198</v>
      </c>
    </row>
    <row r="101" spans="1:21" ht="18" x14ac:dyDescent="0.25">
      <c r="A101" s="24">
        <v>101</v>
      </c>
      <c r="B101" s="57">
        <v>1744766</v>
      </c>
      <c r="C101" s="57">
        <v>1298738</v>
      </c>
      <c r="D101" s="24" t="s">
        <v>257</v>
      </c>
      <c r="E101" s="24" t="s">
        <v>264</v>
      </c>
      <c r="F101" s="24"/>
      <c r="G101" s="24" t="s">
        <v>8</v>
      </c>
      <c r="H101" s="24" t="s">
        <v>150</v>
      </c>
      <c r="I101" s="24" t="s">
        <v>165</v>
      </c>
      <c r="J101" s="24" t="s">
        <v>155</v>
      </c>
      <c r="K101" s="24">
        <v>80</v>
      </c>
      <c r="L101" s="24" t="s">
        <v>167</v>
      </c>
      <c r="M101" s="24"/>
      <c r="N101" s="24"/>
      <c r="O101" s="24">
        <v>12099</v>
      </c>
      <c r="P101" s="27" t="s">
        <v>16</v>
      </c>
      <c r="Q101" s="29">
        <v>45607</v>
      </c>
      <c r="R101" s="29">
        <v>45622</v>
      </c>
      <c r="S101" s="29">
        <v>45623</v>
      </c>
      <c r="T101" s="31" t="s">
        <v>199</v>
      </c>
      <c r="U101" s="31" t="s">
        <v>198</v>
      </c>
    </row>
    <row r="102" spans="1:21" x14ac:dyDescent="0.25">
      <c r="A102" s="24">
        <v>102</v>
      </c>
      <c r="B102" s="90">
        <v>240082226</v>
      </c>
      <c r="C102" s="24"/>
      <c r="D102" s="24" t="s">
        <v>52</v>
      </c>
      <c r="E102" s="24" t="s">
        <v>224</v>
      </c>
      <c r="F102" s="24"/>
      <c r="G102" s="24" t="s">
        <v>52</v>
      </c>
      <c r="H102" s="24" t="s">
        <v>205</v>
      </c>
      <c r="I102" s="24" t="s">
        <v>206</v>
      </c>
      <c r="J102" s="24" t="s">
        <v>258</v>
      </c>
      <c r="K102" s="24"/>
      <c r="L102" s="24" t="s">
        <v>207</v>
      </c>
      <c r="M102" s="24" t="s">
        <v>259</v>
      </c>
      <c r="N102" s="24"/>
      <c r="O102" s="24">
        <v>15872</v>
      </c>
      <c r="P102" s="27" t="s">
        <v>260</v>
      </c>
      <c r="Q102" s="29">
        <v>45604</v>
      </c>
      <c r="R102" s="24" t="s">
        <v>261</v>
      </c>
      <c r="S102" s="29">
        <v>45610</v>
      </c>
      <c r="T102" s="31" t="s">
        <v>199</v>
      </c>
      <c r="U102" s="31" t="s">
        <v>198</v>
      </c>
    </row>
    <row r="103" spans="1:21" x14ac:dyDescent="0.25">
      <c r="A103" s="24">
        <v>103</v>
      </c>
      <c r="B103" s="24" t="s">
        <v>262</v>
      </c>
      <c r="C103" s="24"/>
      <c r="D103" s="24" t="s">
        <v>263</v>
      </c>
      <c r="E103" s="24" t="s">
        <v>34</v>
      </c>
      <c r="F103" s="24"/>
      <c r="G103" s="24" t="s">
        <v>263</v>
      </c>
      <c r="H103" s="24" t="s">
        <v>150</v>
      </c>
      <c r="I103" s="24" t="s">
        <v>153</v>
      </c>
      <c r="J103" s="24" t="s">
        <v>177</v>
      </c>
      <c r="K103" s="24">
        <v>120</v>
      </c>
      <c r="L103" s="24" t="s">
        <v>167</v>
      </c>
      <c r="M103" s="24"/>
      <c r="N103" s="24"/>
      <c r="O103" s="24">
        <v>4520</v>
      </c>
      <c r="P103" s="27" t="s">
        <v>85</v>
      </c>
      <c r="Q103" s="29">
        <v>45606</v>
      </c>
      <c r="R103" s="29">
        <v>45618</v>
      </c>
      <c r="S103" s="29">
        <v>45617</v>
      </c>
      <c r="T103" s="31" t="s">
        <v>199</v>
      </c>
      <c r="U103" s="31" t="s">
        <v>198</v>
      </c>
    </row>
    <row r="104" spans="1:21" x14ac:dyDescent="0.25">
      <c r="A104" s="24">
        <v>104</v>
      </c>
      <c r="B104" s="24" t="s">
        <v>265</v>
      </c>
      <c r="C104" s="24"/>
      <c r="D104" s="24" t="s">
        <v>83</v>
      </c>
      <c r="E104" s="24" t="s">
        <v>200</v>
      </c>
      <c r="F104" s="24"/>
      <c r="G104" s="24" t="s">
        <v>56</v>
      </c>
      <c r="H104" s="24" t="s">
        <v>150</v>
      </c>
      <c r="I104" s="24" t="s">
        <v>165</v>
      </c>
      <c r="J104" s="24" t="s">
        <v>154</v>
      </c>
      <c r="K104" s="24">
        <v>90</v>
      </c>
      <c r="L104" s="24" t="s">
        <v>168</v>
      </c>
      <c r="M104" s="24"/>
      <c r="N104" s="24"/>
      <c r="O104" s="24">
        <v>5766</v>
      </c>
      <c r="P104" s="27" t="s">
        <v>85</v>
      </c>
      <c r="Q104" s="29">
        <v>45608</v>
      </c>
      <c r="R104" s="29">
        <v>45622</v>
      </c>
      <c r="S104" s="29">
        <v>45621</v>
      </c>
      <c r="T104" s="31" t="s">
        <v>199</v>
      </c>
      <c r="U104" s="31" t="s">
        <v>198</v>
      </c>
    </row>
    <row r="105" spans="1:21" ht="18" x14ac:dyDescent="0.25">
      <c r="A105" s="24">
        <v>105</v>
      </c>
      <c r="B105" s="57">
        <v>1752544</v>
      </c>
      <c r="C105" s="57">
        <v>1302011</v>
      </c>
      <c r="D105" s="24" t="s">
        <v>266</v>
      </c>
      <c r="E105" s="24" t="s">
        <v>107</v>
      </c>
      <c r="F105" s="24"/>
      <c r="G105" s="24" t="s">
        <v>8</v>
      </c>
      <c r="H105" s="24" t="s">
        <v>150</v>
      </c>
      <c r="I105" s="24" t="s">
        <v>153</v>
      </c>
      <c r="J105" s="24" t="s">
        <v>177</v>
      </c>
      <c r="K105" s="24">
        <v>160</v>
      </c>
      <c r="L105" s="24" t="s">
        <v>173</v>
      </c>
      <c r="M105" s="24"/>
      <c r="N105" s="24"/>
      <c r="O105" s="24">
        <v>11395</v>
      </c>
      <c r="P105" s="27" t="s">
        <v>16</v>
      </c>
      <c r="Q105" s="29">
        <v>45608</v>
      </c>
      <c r="R105" s="29">
        <v>45620</v>
      </c>
      <c r="S105" s="29">
        <v>45623</v>
      </c>
      <c r="T105" s="31" t="s">
        <v>199</v>
      </c>
      <c r="U105" s="31" t="s">
        <v>198</v>
      </c>
    </row>
    <row r="106" spans="1:21" ht="18" x14ac:dyDescent="0.25">
      <c r="A106" s="24">
        <v>106</v>
      </c>
      <c r="B106" s="57">
        <v>1755075</v>
      </c>
      <c r="C106" s="57">
        <v>1303159</v>
      </c>
      <c r="D106" s="24" t="s">
        <v>267</v>
      </c>
      <c r="E106" s="24" t="s">
        <v>34</v>
      </c>
      <c r="F106" s="24"/>
      <c r="G106" s="24" t="s">
        <v>8</v>
      </c>
      <c r="H106" s="24" t="s">
        <v>150</v>
      </c>
      <c r="I106" s="24" t="s">
        <v>165</v>
      </c>
      <c r="J106" s="24" t="s">
        <v>268</v>
      </c>
      <c r="K106" s="24">
        <v>80</v>
      </c>
      <c r="L106" s="24" t="s">
        <v>167</v>
      </c>
      <c r="M106" s="24"/>
      <c r="N106" s="24"/>
      <c r="O106" s="24">
        <v>12919</v>
      </c>
      <c r="P106" s="27" t="s">
        <v>16</v>
      </c>
      <c r="Q106" s="29">
        <v>45610</v>
      </c>
      <c r="R106" s="29">
        <v>45626</v>
      </c>
      <c r="S106" s="29">
        <v>45623</v>
      </c>
      <c r="T106" s="31" t="s">
        <v>199</v>
      </c>
      <c r="U106" s="31" t="s">
        <v>198</v>
      </c>
    </row>
    <row r="107" spans="1:21" x14ac:dyDescent="0.25">
      <c r="A107" s="24">
        <v>107</v>
      </c>
      <c r="B107" s="24" t="s">
        <v>269</v>
      </c>
      <c r="C107" s="24"/>
      <c r="D107" s="24" t="s">
        <v>83</v>
      </c>
      <c r="E107" s="24" t="s">
        <v>200</v>
      </c>
      <c r="F107" s="24"/>
      <c r="G107" s="24" t="s">
        <v>56</v>
      </c>
      <c r="H107" s="24" t="s">
        <v>270</v>
      </c>
      <c r="I107" s="24" t="s">
        <v>165</v>
      </c>
      <c r="J107" s="24" t="s">
        <v>152</v>
      </c>
      <c r="K107" s="24">
        <v>120</v>
      </c>
      <c r="L107" s="24" t="s">
        <v>172</v>
      </c>
      <c r="M107" s="24"/>
      <c r="N107" s="24"/>
      <c r="O107" s="24">
        <v>6376</v>
      </c>
      <c r="P107" s="27" t="s">
        <v>85</v>
      </c>
      <c r="Q107" s="29">
        <v>45610</v>
      </c>
      <c r="R107" s="29">
        <v>45623</v>
      </c>
      <c r="S107" s="29">
        <v>45621</v>
      </c>
      <c r="T107" s="31" t="s">
        <v>199</v>
      </c>
      <c r="U107" s="31" t="s">
        <v>198</v>
      </c>
    </row>
    <row r="108" spans="1:21" x14ac:dyDescent="0.25">
      <c r="A108" s="24">
        <v>108</v>
      </c>
      <c r="B108" s="24" t="s">
        <v>271</v>
      </c>
      <c r="C108" s="24"/>
      <c r="D108" s="24" t="s">
        <v>83</v>
      </c>
      <c r="E108" s="24" t="s">
        <v>272</v>
      </c>
      <c r="F108" s="24"/>
      <c r="G108" s="24" t="s">
        <v>56</v>
      </c>
      <c r="H108" s="24" t="s">
        <v>150</v>
      </c>
      <c r="I108" s="24" t="s">
        <v>273</v>
      </c>
      <c r="J108" s="24" t="s">
        <v>152</v>
      </c>
      <c r="K108" s="24">
        <v>90</v>
      </c>
      <c r="L108" s="24" t="s">
        <v>168</v>
      </c>
      <c r="M108" s="24"/>
      <c r="N108" s="24"/>
      <c r="O108" s="24">
        <v>5294</v>
      </c>
      <c r="P108" s="27" t="s">
        <v>85</v>
      </c>
      <c r="Q108" s="29">
        <v>45610</v>
      </c>
      <c r="R108" s="29">
        <v>45623</v>
      </c>
      <c r="S108" s="29">
        <v>45621</v>
      </c>
      <c r="T108" s="31" t="s">
        <v>199</v>
      </c>
      <c r="U108" s="31" t="s">
        <v>198</v>
      </c>
    </row>
    <row r="109" spans="1:21" x14ac:dyDescent="0.25">
      <c r="A109" s="24">
        <v>109</v>
      </c>
      <c r="B109" s="62">
        <v>265453625</v>
      </c>
      <c r="C109" s="24"/>
      <c r="D109" s="24" t="s">
        <v>275</v>
      </c>
      <c r="E109" s="24" t="s">
        <v>39</v>
      </c>
      <c r="F109" s="62">
        <v>1277038843</v>
      </c>
      <c r="G109" s="24" t="s">
        <v>276</v>
      </c>
      <c r="H109" s="24" t="s">
        <v>270</v>
      </c>
      <c r="I109" s="24" t="s">
        <v>273</v>
      </c>
      <c r="J109" s="24" t="s">
        <v>277</v>
      </c>
      <c r="K109" s="24">
        <v>80</v>
      </c>
      <c r="L109" s="24" t="s">
        <v>167</v>
      </c>
      <c r="M109" s="24"/>
      <c r="N109" s="24"/>
      <c r="O109" s="24">
        <v>7396</v>
      </c>
      <c r="P109" s="27" t="s">
        <v>16</v>
      </c>
      <c r="Q109" s="29">
        <v>45613</v>
      </c>
      <c r="R109" s="29">
        <v>45624</v>
      </c>
      <c r="S109" s="29">
        <v>45622</v>
      </c>
      <c r="T109" s="31" t="s">
        <v>199</v>
      </c>
      <c r="U109" s="31" t="s">
        <v>198</v>
      </c>
    </row>
    <row r="110" spans="1:21" ht="18" x14ac:dyDescent="0.25">
      <c r="A110" s="24">
        <v>110</v>
      </c>
      <c r="B110" s="57">
        <v>1762617</v>
      </c>
      <c r="C110" s="57">
        <v>1306879</v>
      </c>
      <c r="D110" s="24" t="s">
        <v>131</v>
      </c>
      <c r="E110" s="24" t="s">
        <v>278</v>
      </c>
      <c r="F110" s="24"/>
      <c r="G110" s="24" t="s">
        <v>8</v>
      </c>
      <c r="H110" s="24" t="s">
        <v>150</v>
      </c>
      <c r="I110" s="24" t="s">
        <v>165</v>
      </c>
      <c r="J110" s="24" t="s">
        <v>154</v>
      </c>
      <c r="K110" s="24">
        <v>90</v>
      </c>
      <c r="L110" s="24" t="s">
        <v>168</v>
      </c>
      <c r="M110" s="24"/>
      <c r="N110" s="24"/>
      <c r="O110" s="24">
        <v>13439</v>
      </c>
      <c r="P110" s="27">
        <v>13575</v>
      </c>
      <c r="Q110" s="29">
        <v>45616</v>
      </c>
      <c r="R110" s="29">
        <v>45631</v>
      </c>
      <c r="S110" s="29">
        <v>45622</v>
      </c>
      <c r="T110" s="31" t="s">
        <v>199</v>
      </c>
      <c r="U110" s="31" t="s">
        <v>198</v>
      </c>
    </row>
    <row r="111" spans="1:21" x14ac:dyDescent="0.25">
      <c r="A111" s="2">
        <v>111</v>
      </c>
      <c r="B111" s="2"/>
      <c r="C111" s="2"/>
      <c r="D111" s="2" t="s">
        <v>41</v>
      </c>
      <c r="E111" s="2" t="s">
        <v>46</v>
      </c>
      <c r="F111" s="2"/>
      <c r="G111" s="2" t="s">
        <v>41</v>
      </c>
      <c r="H111" s="2" t="s">
        <v>150</v>
      </c>
      <c r="I111" s="2" t="s">
        <v>279</v>
      </c>
      <c r="J111" s="2" t="s">
        <v>280</v>
      </c>
      <c r="K111" s="2">
        <v>160</v>
      </c>
      <c r="L111" s="2" t="s">
        <v>168</v>
      </c>
      <c r="M111" s="2"/>
      <c r="N111" s="2"/>
      <c r="O111" s="2">
        <v>5100</v>
      </c>
      <c r="P111" s="3" t="s">
        <v>85</v>
      </c>
      <c r="Q111" s="61">
        <v>45610</v>
      </c>
      <c r="R111" s="61">
        <v>45634</v>
      </c>
      <c r="S111" s="2"/>
      <c r="T111" s="2"/>
      <c r="U111" s="1"/>
    </row>
    <row r="112" spans="1:21" x14ac:dyDescent="0.25">
      <c r="A112" s="24">
        <v>112</v>
      </c>
      <c r="B112" s="24"/>
      <c r="C112" s="24"/>
      <c r="D112" s="24" t="s">
        <v>281</v>
      </c>
      <c r="E112" s="24" t="s">
        <v>49</v>
      </c>
      <c r="F112" s="24"/>
      <c r="G112" s="24" t="s">
        <v>282</v>
      </c>
      <c r="H112" s="24" t="s">
        <v>270</v>
      </c>
      <c r="I112" s="24" t="s">
        <v>153</v>
      </c>
      <c r="J112" s="24" t="s">
        <v>283</v>
      </c>
      <c r="K112" s="24">
        <v>160</v>
      </c>
      <c r="L112" s="24" t="s">
        <v>176</v>
      </c>
      <c r="M112" s="24" t="s">
        <v>167</v>
      </c>
      <c r="N112" s="24"/>
      <c r="O112" s="24" t="s">
        <v>284</v>
      </c>
      <c r="P112" s="27">
        <v>5800</v>
      </c>
      <c r="Q112" s="29">
        <v>45618</v>
      </c>
      <c r="R112" s="29">
        <v>45628</v>
      </c>
      <c r="S112" s="29">
        <v>45623</v>
      </c>
      <c r="T112" s="31" t="s">
        <v>199</v>
      </c>
      <c r="U112" s="31" t="s">
        <v>198</v>
      </c>
    </row>
    <row r="113" spans="1:21" ht="18" x14ac:dyDescent="0.25">
      <c r="A113" s="24">
        <v>113</v>
      </c>
      <c r="B113" s="57">
        <v>1765451</v>
      </c>
      <c r="C113" s="57">
        <v>1308241</v>
      </c>
      <c r="D113" s="24" t="s">
        <v>285</v>
      </c>
      <c r="E113" s="24" t="s">
        <v>286</v>
      </c>
      <c r="F113" s="24"/>
      <c r="G113" s="24" t="s">
        <v>8</v>
      </c>
      <c r="H113" s="24" t="s">
        <v>150</v>
      </c>
      <c r="I113" s="24" t="s">
        <v>279</v>
      </c>
      <c r="J113" s="24" t="s">
        <v>287</v>
      </c>
      <c r="K113" s="24">
        <v>120</v>
      </c>
      <c r="L113" s="24" t="s">
        <v>172</v>
      </c>
      <c r="M113" s="24"/>
      <c r="N113" s="24"/>
      <c r="O113" s="24">
        <v>10885</v>
      </c>
      <c r="P113" s="27">
        <v>7965</v>
      </c>
      <c r="Q113" s="29">
        <v>45620</v>
      </c>
      <c r="R113" s="29">
        <v>45631</v>
      </c>
      <c r="S113" s="29">
        <v>45636</v>
      </c>
      <c r="T113" s="31" t="s">
        <v>199</v>
      </c>
      <c r="U113" s="31" t="s">
        <v>198</v>
      </c>
    </row>
    <row r="114" spans="1:21" x14ac:dyDescent="0.25">
      <c r="A114" s="24">
        <v>114</v>
      </c>
      <c r="B114" s="24"/>
      <c r="C114" s="24"/>
      <c r="D114" s="24" t="s">
        <v>41</v>
      </c>
      <c r="E114" s="24" t="s">
        <v>46</v>
      </c>
      <c r="F114" s="24"/>
      <c r="G114" s="24" t="s">
        <v>43</v>
      </c>
      <c r="H114" s="24" t="s">
        <v>205</v>
      </c>
      <c r="I114" s="24" t="s">
        <v>288</v>
      </c>
      <c r="J114" s="24" t="s">
        <v>288</v>
      </c>
      <c r="K114" s="24"/>
      <c r="L114" s="24"/>
      <c r="M114" s="24"/>
      <c r="N114" s="24"/>
      <c r="O114" s="24">
        <v>6000</v>
      </c>
      <c r="P114" s="27">
        <v>6000</v>
      </c>
      <c r="Q114" s="29">
        <v>45615</v>
      </c>
      <c r="R114" s="29">
        <v>45631</v>
      </c>
      <c r="S114" s="29">
        <v>45616</v>
      </c>
      <c r="T114" s="24" t="s">
        <v>289</v>
      </c>
      <c r="U114" s="31" t="s">
        <v>198</v>
      </c>
    </row>
    <row r="115" spans="1:21" ht="18" x14ac:dyDescent="0.25">
      <c r="A115" s="24">
        <v>115</v>
      </c>
      <c r="B115" s="57">
        <v>1782674</v>
      </c>
      <c r="C115" s="24">
        <v>1315860</v>
      </c>
      <c r="D115" s="24" t="s">
        <v>290</v>
      </c>
      <c r="E115" s="24" t="s">
        <v>291</v>
      </c>
      <c r="F115" s="24"/>
      <c r="G115" s="24" t="s">
        <v>8</v>
      </c>
      <c r="H115" s="24" t="s">
        <v>292</v>
      </c>
      <c r="I115" s="24"/>
      <c r="J115" s="24" t="s">
        <v>293</v>
      </c>
      <c r="K115" s="24"/>
      <c r="L115" s="24"/>
      <c r="M115" s="24"/>
      <c r="N115" s="24"/>
      <c r="O115" s="24">
        <v>8449</v>
      </c>
      <c r="P115" s="27" t="s">
        <v>16</v>
      </c>
      <c r="Q115" s="29">
        <v>45623</v>
      </c>
      <c r="R115" s="29">
        <v>45636</v>
      </c>
      <c r="S115" s="29">
        <v>45649</v>
      </c>
      <c r="T115" s="24" t="s">
        <v>28</v>
      </c>
      <c r="U115" s="32" t="s">
        <v>198</v>
      </c>
    </row>
    <row r="116" spans="1:21" ht="18" x14ac:dyDescent="0.25">
      <c r="A116" s="24">
        <v>116</v>
      </c>
      <c r="B116" s="24">
        <v>1781530</v>
      </c>
      <c r="C116" s="57">
        <v>1315450</v>
      </c>
      <c r="D116" s="24" t="s">
        <v>294</v>
      </c>
      <c r="E116" s="24" t="s">
        <v>59</v>
      </c>
      <c r="F116" s="24"/>
      <c r="G116" s="24" t="s">
        <v>8</v>
      </c>
      <c r="H116" s="24" t="s">
        <v>292</v>
      </c>
      <c r="I116" s="24" t="s">
        <v>295</v>
      </c>
      <c r="J116" s="24" t="s">
        <v>296</v>
      </c>
      <c r="K116" s="24"/>
      <c r="L116" s="24" t="s">
        <v>167</v>
      </c>
      <c r="M116" s="24" t="s">
        <v>297</v>
      </c>
      <c r="N116" s="24"/>
      <c r="O116" s="24">
        <v>10249</v>
      </c>
      <c r="P116" s="27">
        <v>6211</v>
      </c>
      <c r="Q116" s="29">
        <v>45623</v>
      </c>
      <c r="R116" s="29">
        <v>45636</v>
      </c>
      <c r="S116" s="29">
        <v>45645</v>
      </c>
      <c r="T116" s="31" t="s">
        <v>199</v>
      </c>
      <c r="U116" s="31" t="s">
        <v>198</v>
      </c>
    </row>
    <row r="117" spans="1:21" x14ac:dyDescent="0.25">
      <c r="A117" s="10">
        <v>117</v>
      </c>
      <c r="B117" s="10">
        <v>1795447</v>
      </c>
      <c r="C117" s="10">
        <v>1321584</v>
      </c>
      <c r="D117" s="10" t="s">
        <v>298</v>
      </c>
      <c r="E117" s="10" t="s">
        <v>299</v>
      </c>
      <c r="F117" s="10"/>
      <c r="G117" s="10" t="s">
        <v>8</v>
      </c>
      <c r="H117" s="10" t="s">
        <v>150</v>
      </c>
      <c r="I117" s="10" t="s">
        <v>165</v>
      </c>
      <c r="J117" s="10" t="s">
        <v>155</v>
      </c>
      <c r="K117" s="10">
        <v>100</v>
      </c>
      <c r="L117" s="10" t="s">
        <v>168</v>
      </c>
      <c r="M117" s="10"/>
      <c r="N117" s="10"/>
      <c r="O117" s="10">
        <v>14905</v>
      </c>
      <c r="P117" s="12" t="s">
        <v>16</v>
      </c>
      <c r="Q117" s="16">
        <v>45625</v>
      </c>
      <c r="R117" s="16">
        <v>45641</v>
      </c>
      <c r="S117" s="10"/>
      <c r="T117" s="10" t="s">
        <v>319</v>
      </c>
      <c r="U117" s="63" t="s">
        <v>236</v>
      </c>
    </row>
    <row r="118" spans="1:21" ht="18" x14ac:dyDescent="0.25">
      <c r="A118" s="10">
        <v>118</v>
      </c>
      <c r="B118" s="64">
        <v>1808440</v>
      </c>
      <c r="C118" s="64">
        <v>1327172</v>
      </c>
      <c r="D118" s="10" t="s">
        <v>300</v>
      </c>
      <c r="E118" s="10" t="s">
        <v>67</v>
      </c>
      <c r="F118" s="10"/>
      <c r="G118" s="10" t="s">
        <v>8</v>
      </c>
      <c r="H118" s="10" t="s">
        <v>301</v>
      </c>
      <c r="I118" s="10" t="s">
        <v>295</v>
      </c>
      <c r="J118" s="10" t="s">
        <v>296</v>
      </c>
      <c r="K118" s="10"/>
      <c r="L118" s="10" t="s">
        <v>207</v>
      </c>
      <c r="M118" s="10" t="s">
        <v>302</v>
      </c>
      <c r="N118" s="10"/>
      <c r="O118" s="10">
        <v>10249</v>
      </c>
      <c r="P118" s="12" t="s">
        <v>16</v>
      </c>
      <c r="Q118" s="16">
        <v>45626</v>
      </c>
      <c r="R118" s="16">
        <v>45638</v>
      </c>
      <c r="S118" s="10"/>
      <c r="T118" s="10"/>
      <c r="U118" s="63" t="s">
        <v>236</v>
      </c>
    </row>
    <row r="119" spans="1:21" ht="18" x14ac:dyDescent="0.25">
      <c r="A119" s="10">
        <v>119</v>
      </c>
      <c r="B119" s="10">
        <v>1808441</v>
      </c>
      <c r="C119" s="64">
        <v>1327172</v>
      </c>
      <c r="D119" s="10" t="s">
        <v>303</v>
      </c>
      <c r="E119" s="10" t="s">
        <v>67</v>
      </c>
      <c r="F119" s="10"/>
      <c r="G119" s="10" t="s">
        <v>304</v>
      </c>
      <c r="H119" s="10" t="s">
        <v>301</v>
      </c>
      <c r="I119" s="10" t="s">
        <v>189</v>
      </c>
      <c r="J119" s="10"/>
      <c r="K119" s="10"/>
      <c r="L119" s="10" t="s">
        <v>168</v>
      </c>
      <c r="M119" s="10" t="s">
        <v>305</v>
      </c>
      <c r="N119" s="10"/>
      <c r="O119" s="10">
        <v>9029</v>
      </c>
      <c r="P119" s="12" t="s">
        <v>16</v>
      </c>
      <c r="Q119" s="16">
        <v>45626</v>
      </c>
      <c r="R119" s="16">
        <v>45638</v>
      </c>
      <c r="S119" s="10"/>
      <c r="T119" s="10"/>
      <c r="U119" s="63" t="s">
        <v>236</v>
      </c>
    </row>
    <row r="120" spans="1:21" ht="18" x14ac:dyDescent="0.25">
      <c r="A120" s="2">
        <v>120</v>
      </c>
      <c r="B120" s="59">
        <v>1805052</v>
      </c>
      <c r="C120" s="59">
        <v>1325637</v>
      </c>
      <c r="D120" s="2" t="s">
        <v>306</v>
      </c>
      <c r="E120" s="2" t="s">
        <v>144</v>
      </c>
      <c r="F120" s="2"/>
      <c r="G120" s="2" t="s">
        <v>304</v>
      </c>
      <c r="H120" s="2" t="s">
        <v>292</v>
      </c>
      <c r="I120" s="2" t="s">
        <v>307</v>
      </c>
      <c r="J120" s="2"/>
      <c r="K120" s="2"/>
      <c r="L120" s="2" t="s">
        <v>207</v>
      </c>
      <c r="M120" s="2" t="s">
        <v>308</v>
      </c>
      <c r="N120" s="2"/>
      <c r="O120" s="2">
        <v>9029</v>
      </c>
      <c r="P120" s="3" t="s">
        <v>16</v>
      </c>
      <c r="Q120" s="61">
        <v>45626</v>
      </c>
      <c r="R120" s="61">
        <v>45638</v>
      </c>
      <c r="S120" s="2"/>
      <c r="T120" s="2"/>
      <c r="U120" s="1"/>
    </row>
    <row r="121" spans="1:21" ht="18" x14ac:dyDescent="0.25">
      <c r="A121" s="10">
        <v>121</v>
      </c>
      <c r="B121" s="64">
        <v>1813823</v>
      </c>
      <c r="C121" s="64">
        <v>1329646</v>
      </c>
      <c r="D121" s="10" t="s">
        <v>309</v>
      </c>
      <c r="E121" s="10" t="s">
        <v>310</v>
      </c>
      <c r="F121" s="10"/>
      <c r="G121" s="10" t="s">
        <v>8</v>
      </c>
      <c r="H121" s="10" t="s">
        <v>150</v>
      </c>
      <c r="I121" s="10" t="s">
        <v>273</v>
      </c>
      <c r="J121" s="10" t="s">
        <v>152</v>
      </c>
      <c r="K121" s="65">
        <v>80</v>
      </c>
      <c r="L121" s="10" t="s">
        <v>167</v>
      </c>
      <c r="M121" s="10"/>
      <c r="N121" s="10"/>
      <c r="O121" s="10">
        <v>12099</v>
      </c>
      <c r="P121" s="12" t="s">
        <v>16</v>
      </c>
      <c r="Q121" s="16">
        <v>45628</v>
      </c>
      <c r="R121" s="16">
        <v>45643</v>
      </c>
      <c r="S121" s="10"/>
      <c r="T121" s="10"/>
      <c r="U121" s="63" t="s">
        <v>236</v>
      </c>
    </row>
    <row r="122" spans="1:21" x14ac:dyDescent="0.25">
      <c r="A122" s="24">
        <v>122</v>
      </c>
      <c r="B122" s="24" t="s">
        <v>311</v>
      </c>
      <c r="C122" s="24"/>
      <c r="D122" s="24" t="s">
        <v>83</v>
      </c>
      <c r="E122" s="24" t="s">
        <v>200</v>
      </c>
      <c r="F122" s="24"/>
      <c r="G122" s="24" t="s">
        <v>56</v>
      </c>
      <c r="H122" s="24" t="s">
        <v>150</v>
      </c>
      <c r="I122" s="24" t="s">
        <v>273</v>
      </c>
      <c r="J122" s="24" t="s">
        <v>277</v>
      </c>
      <c r="K122" s="58">
        <v>90</v>
      </c>
      <c r="L122" s="24" t="s">
        <v>170</v>
      </c>
      <c r="M122" s="24"/>
      <c r="N122" s="24"/>
      <c r="O122" s="24">
        <v>5217</v>
      </c>
      <c r="P122" s="27" t="s">
        <v>85</v>
      </c>
      <c r="Q122" s="29">
        <v>45627</v>
      </c>
      <c r="R122" s="29">
        <v>45640</v>
      </c>
      <c r="S122" s="29">
        <v>45636</v>
      </c>
      <c r="T122" s="31" t="s">
        <v>199</v>
      </c>
      <c r="U122" s="31" t="s">
        <v>198</v>
      </c>
    </row>
    <row r="123" spans="1:21" ht="18" x14ac:dyDescent="0.25">
      <c r="A123" s="24">
        <v>123</v>
      </c>
      <c r="B123" s="57">
        <v>1810950</v>
      </c>
      <c r="C123" s="57">
        <v>1328141</v>
      </c>
      <c r="D123" s="24" t="s">
        <v>312</v>
      </c>
      <c r="E123" s="24" t="s">
        <v>135</v>
      </c>
      <c r="F123" s="24"/>
      <c r="G123" s="24" t="s">
        <v>8</v>
      </c>
      <c r="H123" s="24" t="s">
        <v>270</v>
      </c>
      <c r="I123" s="24" t="s">
        <v>151</v>
      </c>
      <c r="J123" s="24"/>
      <c r="K123" s="24"/>
      <c r="L123" s="24" t="s">
        <v>168</v>
      </c>
      <c r="M123" s="24" t="s">
        <v>168</v>
      </c>
      <c r="N123" s="24"/>
      <c r="O123" s="24">
        <v>10249</v>
      </c>
      <c r="P123" s="27">
        <v>6211</v>
      </c>
      <c r="Q123" s="29">
        <v>45630</v>
      </c>
      <c r="R123" s="29">
        <v>45640</v>
      </c>
      <c r="S123" s="29">
        <v>45645</v>
      </c>
      <c r="T123" s="31" t="s">
        <v>199</v>
      </c>
      <c r="U123" s="31" t="s">
        <v>198</v>
      </c>
    </row>
    <row r="124" spans="1:21" x14ac:dyDescent="0.25">
      <c r="A124" s="24">
        <v>124</v>
      </c>
      <c r="B124" s="90">
        <v>240085463</v>
      </c>
      <c r="C124" s="24"/>
      <c r="D124" s="24" t="s">
        <v>313</v>
      </c>
      <c r="E124" s="24" t="s">
        <v>314</v>
      </c>
      <c r="F124" s="24"/>
      <c r="G124" s="24" t="s">
        <v>52</v>
      </c>
      <c r="H124" s="24" t="s">
        <v>150</v>
      </c>
      <c r="I124" s="24" t="s">
        <v>165</v>
      </c>
      <c r="J124" s="24" t="s">
        <v>154</v>
      </c>
      <c r="K124" s="24"/>
      <c r="L124" s="24" t="s">
        <v>168</v>
      </c>
      <c r="M124" s="24"/>
      <c r="N124" s="24"/>
      <c r="O124" s="24">
        <v>10445</v>
      </c>
      <c r="P124" s="27">
        <v>7707</v>
      </c>
      <c r="Q124" s="29">
        <v>45635</v>
      </c>
      <c r="R124" s="29">
        <v>45657</v>
      </c>
      <c r="S124" s="29">
        <v>45638</v>
      </c>
      <c r="T124" s="31" t="s">
        <v>199</v>
      </c>
      <c r="U124" s="31" t="s">
        <v>198</v>
      </c>
    </row>
    <row r="125" spans="1:21" ht="18" x14ac:dyDescent="0.25">
      <c r="A125" s="24">
        <v>125</v>
      </c>
      <c r="B125" s="57">
        <v>1818591</v>
      </c>
      <c r="C125" s="57">
        <v>1332300</v>
      </c>
      <c r="D125" s="24" t="s">
        <v>315</v>
      </c>
      <c r="E125" s="24" t="s">
        <v>67</v>
      </c>
      <c r="F125" s="24"/>
      <c r="G125" s="24" t="s">
        <v>8</v>
      </c>
      <c r="H125" s="24" t="s">
        <v>292</v>
      </c>
      <c r="I125" s="24" t="s">
        <v>316</v>
      </c>
      <c r="J125" s="24" t="s">
        <v>296</v>
      </c>
      <c r="K125" s="24"/>
      <c r="L125" s="24" t="s">
        <v>207</v>
      </c>
      <c r="M125" s="24" t="s">
        <v>302</v>
      </c>
      <c r="N125" s="24"/>
      <c r="O125" s="24">
        <v>11199</v>
      </c>
      <c r="P125" s="27">
        <v>11257</v>
      </c>
      <c r="Q125" s="29">
        <v>45638</v>
      </c>
      <c r="R125" s="29">
        <v>45650</v>
      </c>
      <c r="S125" s="29">
        <v>45645</v>
      </c>
      <c r="T125" s="31" t="s">
        <v>199</v>
      </c>
      <c r="U125" s="31" t="s">
        <v>198</v>
      </c>
    </row>
    <row r="126" spans="1:21" x14ac:dyDescent="0.25">
      <c r="A126" s="24">
        <v>126</v>
      </c>
      <c r="B126" s="24">
        <v>1818396</v>
      </c>
      <c r="C126" s="24">
        <v>1332179</v>
      </c>
      <c r="D126" s="24" t="s">
        <v>317</v>
      </c>
      <c r="E126" s="24" t="s">
        <v>278</v>
      </c>
      <c r="F126" s="24"/>
      <c r="G126" s="24" t="s">
        <v>8</v>
      </c>
      <c r="H126" s="24" t="s">
        <v>270</v>
      </c>
      <c r="I126" s="24" t="s">
        <v>165</v>
      </c>
      <c r="J126" s="24" t="s">
        <v>152</v>
      </c>
      <c r="K126" s="24">
        <v>80</v>
      </c>
      <c r="L126" s="24" t="s">
        <v>168</v>
      </c>
      <c r="M126" s="24"/>
      <c r="N126" s="24"/>
      <c r="O126" s="24">
        <v>13099</v>
      </c>
      <c r="P126" s="27">
        <v>13231</v>
      </c>
      <c r="Q126" s="29">
        <v>45638</v>
      </c>
      <c r="R126" s="29">
        <v>45654</v>
      </c>
      <c r="S126" s="29">
        <v>45655</v>
      </c>
      <c r="T126" s="24" t="s">
        <v>199</v>
      </c>
      <c r="U126" s="31" t="s">
        <v>198</v>
      </c>
    </row>
    <row r="127" spans="1:21" x14ac:dyDescent="0.25">
      <c r="A127" s="24">
        <v>127</v>
      </c>
      <c r="B127" s="90">
        <v>240085758</v>
      </c>
      <c r="C127" s="24"/>
      <c r="D127" s="24" t="s">
        <v>52</v>
      </c>
      <c r="E127" s="24" t="s">
        <v>224</v>
      </c>
      <c r="F127" s="24"/>
      <c r="G127" s="24" t="s">
        <v>52</v>
      </c>
      <c r="H127" s="24" t="s">
        <v>205</v>
      </c>
      <c r="I127" s="24" t="s">
        <v>206</v>
      </c>
      <c r="J127" s="24" t="s">
        <v>258</v>
      </c>
      <c r="K127" s="24"/>
      <c r="L127" s="24" t="s">
        <v>207</v>
      </c>
      <c r="M127" s="24" t="s">
        <v>318</v>
      </c>
      <c r="N127" s="24"/>
      <c r="O127" s="24">
        <v>8700</v>
      </c>
      <c r="P127" s="27" t="s">
        <v>85</v>
      </c>
      <c r="Q127" s="29">
        <v>45640</v>
      </c>
      <c r="R127" s="29">
        <v>45662</v>
      </c>
      <c r="S127" s="29">
        <v>45655</v>
      </c>
      <c r="T127" s="24" t="s">
        <v>199</v>
      </c>
      <c r="U127" s="31"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workbookViewId="0">
      <selection activeCell="A22" sqref="A22:XFD22"/>
    </sheetView>
  </sheetViews>
  <sheetFormatPr defaultRowHeight="15" x14ac:dyDescent="0.25"/>
  <cols>
    <col min="2" max="2" width="41.85546875" customWidth="1"/>
  </cols>
  <sheetData>
    <row r="1" spans="1:2" x14ac:dyDescent="0.25">
      <c r="A1" s="71"/>
      <c r="B1" s="71"/>
    </row>
    <row r="2" spans="1:2" x14ac:dyDescent="0.25">
      <c r="A2" s="71"/>
      <c r="B2" s="71"/>
    </row>
    <row r="3" spans="1:2" s="69" customFormat="1" ht="25.5" x14ac:dyDescent="0.35">
      <c r="A3" s="69" t="s">
        <v>327</v>
      </c>
    </row>
    <row r="4" spans="1:2" s="70" customFormat="1" ht="18.75" x14ac:dyDescent="0.3">
      <c r="A4" s="73" t="s">
        <v>320</v>
      </c>
      <c r="B4" s="73"/>
    </row>
    <row r="5" spans="1:2" s="66" customFormat="1" x14ac:dyDescent="0.25">
      <c r="A5" s="74"/>
      <c r="B5" s="74"/>
    </row>
    <row r="6" spans="1:2" s="68" customFormat="1" ht="18.75" x14ac:dyDescent="0.3">
      <c r="A6" s="68" t="s">
        <v>326</v>
      </c>
    </row>
    <row r="7" spans="1:2" s="67" customFormat="1" ht="15.75" x14ac:dyDescent="0.25">
      <c r="A7" s="75" t="s">
        <v>321</v>
      </c>
      <c r="B7" s="72"/>
    </row>
    <row r="8" spans="1:2" s="67" customFormat="1" ht="15.75" x14ac:dyDescent="0.25">
      <c r="A8" s="72" t="s">
        <v>322</v>
      </c>
      <c r="B8" s="72"/>
    </row>
    <row r="9" spans="1:2" s="67" customFormat="1" ht="15.75" x14ac:dyDescent="0.25">
      <c r="A9" s="72" t="s">
        <v>323</v>
      </c>
      <c r="B9" s="72"/>
    </row>
    <row r="10" spans="1:2" s="67" customFormat="1" ht="15.75" x14ac:dyDescent="0.25">
      <c r="A10" s="72" t="s">
        <v>324</v>
      </c>
      <c r="B10" s="72"/>
    </row>
    <row r="11" spans="1:2" s="72" customFormat="1" ht="15.75" x14ac:dyDescent="0.25">
      <c r="A11" s="72" t="s">
        <v>328</v>
      </c>
    </row>
    <row r="12" spans="1:2" s="67" customFormat="1" ht="15.75" x14ac:dyDescent="0.25">
      <c r="A12" s="72" t="s">
        <v>329</v>
      </c>
      <c r="B12" s="72"/>
    </row>
    <row r="13" spans="1:2" s="67" customFormat="1" ht="15.75" x14ac:dyDescent="0.25">
      <c r="A13" s="72" t="s">
        <v>325</v>
      </c>
      <c r="B13" s="72"/>
    </row>
    <row r="14" spans="1:2" s="67" customFormat="1" ht="15.75" x14ac:dyDescent="0.25">
      <c r="A14" s="72" t="s">
        <v>332</v>
      </c>
      <c r="B14" s="72"/>
    </row>
    <row r="15" spans="1:2" s="67" customFormat="1" ht="15.75" x14ac:dyDescent="0.25">
      <c r="A15" s="72" t="s">
        <v>330</v>
      </c>
      <c r="B15" s="72"/>
    </row>
    <row r="16" spans="1:2" ht="15.75" x14ac:dyDescent="0.25">
      <c r="A16" s="72" t="s">
        <v>331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93"/>
  <sheetViews>
    <sheetView rightToLeft="1" topLeftCell="P1" zoomScaleNormal="100" workbookViewId="0">
      <selection activeCell="E18" sqref="E18"/>
    </sheetView>
  </sheetViews>
  <sheetFormatPr defaultColWidth="8.85546875" defaultRowHeight="15" x14ac:dyDescent="0.25"/>
  <cols>
    <col min="1" max="1" width="16.7109375" style="82" bestFit="1" customWidth="1"/>
    <col min="2" max="2" width="13.7109375" style="82" bestFit="1" customWidth="1"/>
    <col min="3" max="3" width="31" bestFit="1" customWidth="1"/>
    <col min="4" max="4" width="31" style="84" customWidth="1"/>
    <col min="5" max="5" width="16.7109375" style="82" bestFit="1" customWidth="1"/>
    <col min="6" max="6" width="16.42578125" style="82" bestFit="1" customWidth="1"/>
    <col min="7" max="7" width="18.42578125" style="82" customWidth="1"/>
    <col min="8" max="8" width="12.5703125" customWidth="1"/>
    <col min="9" max="9" width="13.5703125" bestFit="1" customWidth="1"/>
    <col min="10" max="10" width="14.140625" style="82" customWidth="1"/>
    <col min="11" max="11" width="37.28515625" bestFit="1" customWidth="1"/>
    <col min="12" max="12" width="11.28515625" bestFit="1" customWidth="1"/>
    <col min="13" max="13" width="10.28515625" bestFit="1" customWidth="1"/>
    <col min="14" max="14" width="14.42578125" bestFit="1" customWidth="1"/>
    <col min="15" max="17" width="17.5703125" style="87" customWidth="1"/>
    <col min="18" max="18" width="24" style="82" bestFit="1" customWidth="1"/>
    <col min="19" max="19" width="14.85546875" style="89" customWidth="1"/>
    <col min="20" max="20" width="17.140625" style="89" customWidth="1"/>
    <col min="21" max="21" width="24.5703125" style="89" bestFit="1" customWidth="1"/>
    <col min="22" max="22" width="24.5703125" style="89" customWidth="1"/>
    <col min="23" max="23" width="29" bestFit="1" customWidth="1"/>
    <col min="24" max="24" width="13" style="82" bestFit="1" customWidth="1"/>
    <col min="25" max="16384" width="8.85546875" style="1"/>
  </cols>
  <sheetData>
    <row r="1" spans="1:24" s="78" customFormat="1" ht="15.75" x14ac:dyDescent="0.25">
      <c r="A1" s="76" t="s">
        <v>0</v>
      </c>
      <c r="B1" s="76" t="s">
        <v>345</v>
      </c>
      <c r="C1" s="83" t="s">
        <v>1</v>
      </c>
      <c r="D1" s="76" t="s">
        <v>337</v>
      </c>
      <c r="E1" s="76" t="s">
        <v>7</v>
      </c>
      <c r="F1" s="76" t="s">
        <v>334</v>
      </c>
      <c r="G1" s="76" t="s">
        <v>335</v>
      </c>
      <c r="H1" s="83" t="s">
        <v>174</v>
      </c>
      <c r="I1" s="83" t="s">
        <v>408</v>
      </c>
      <c r="J1" s="83" t="s">
        <v>175</v>
      </c>
      <c r="K1" s="81" t="s">
        <v>2</v>
      </c>
      <c r="L1" s="81" t="s">
        <v>348</v>
      </c>
      <c r="M1" s="81" t="s">
        <v>350</v>
      </c>
      <c r="N1" s="81" t="s">
        <v>349</v>
      </c>
      <c r="O1" s="81" t="s">
        <v>9</v>
      </c>
      <c r="P1" s="79" t="s">
        <v>409</v>
      </c>
      <c r="Q1" s="79" t="s">
        <v>410</v>
      </c>
      <c r="R1" s="79" t="s">
        <v>10</v>
      </c>
      <c r="S1" s="80" t="s">
        <v>12</v>
      </c>
      <c r="T1" s="80" t="s">
        <v>11</v>
      </c>
      <c r="U1" s="80" t="s">
        <v>3</v>
      </c>
      <c r="V1" s="80" t="s">
        <v>424</v>
      </c>
      <c r="W1" s="83" t="s">
        <v>4</v>
      </c>
      <c r="X1" s="77" t="s">
        <v>190</v>
      </c>
    </row>
    <row r="2" spans="1:24" x14ac:dyDescent="0.25">
      <c r="A2" s="82" t="s">
        <v>13</v>
      </c>
      <c r="B2" s="82" t="s">
        <v>346</v>
      </c>
      <c r="C2" t="s">
        <v>14</v>
      </c>
      <c r="D2" s="82" t="s">
        <v>339</v>
      </c>
      <c r="E2" s="82" t="s">
        <v>8</v>
      </c>
      <c r="F2" s="82" t="s">
        <v>150</v>
      </c>
      <c r="G2" s="82" t="s">
        <v>151</v>
      </c>
      <c r="I2" t="s">
        <v>352</v>
      </c>
      <c r="K2" t="s">
        <v>351</v>
      </c>
      <c r="L2" t="s">
        <v>150</v>
      </c>
      <c r="M2">
        <v>1</v>
      </c>
      <c r="N2" t="s">
        <v>151</v>
      </c>
      <c r="O2" s="85">
        <v>10160</v>
      </c>
      <c r="P2" s="85">
        <f>MISUO[[#This Row],[الكمية]]*MISUO[[#This Row],[سعر البيع ]]</f>
        <v>10160</v>
      </c>
      <c r="Q2" s="85">
        <f>IF(MISUO[[#This Row],[الحالة]]="تم التسليم",MISUO[[#This Row],[إجمالي البيع]],IF(MISUO[[#This Row],[الحالة]]="مرتجع",-MISUO[[#This Row],[إجمالي البيع]],0))</f>
        <v>10160</v>
      </c>
      <c r="R2" s="88" t="s">
        <v>16</v>
      </c>
      <c r="S2" s="89">
        <v>45500</v>
      </c>
      <c r="U2" s="89">
        <v>45514</v>
      </c>
      <c r="V2" s="89" t="str">
        <f>IF(OR(MISUO[[#This Row],[الحالة]]="مرفوض",MISUO[[#This Row],[الحالة]]="مرتجع"),"لم يتم",
IF(MISUO[[#This Row],[تاريخ التسليم]]&lt;=MISUO[[#This Row],[ميعاد التسليم]],"في الموعد","متأخر"))</f>
        <v>متأخر</v>
      </c>
      <c r="W2" t="s">
        <v>28</v>
      </c>
      <c r="X2" s="82" t="s">
        <v>198</v>
      </c>
    </row>
    <row r="3" spans="1:24" x14ac:dyDescent="0.25">
      <c r="A3" s="82" t="s">
        <v>18</v>
      </c>
      <c r="B3" s="82" t="s">
        <v>346</v>
      </c>
      <c r="C3" t="s">
        <v>19</v>
      </c>
      <c r="D3" s="82" t="s">
        <v>340</v>
      </c>
      <c r="E3" s="82" t="s">
        <v>8</v>
      </c>
      <c r="F3" s="82" t="s">
        <v>150</v>
      </c>
      <c r="G3" s="82" t="s">
        <v>151</v>
      </c>
      <c r="I3" t="s">
        <v>354</v>
      </c>
      <c r="K3" t="s">
        <v>353</v>
      </c>
      <c r="L3" t="s">
        <v>150</v>
      </c>
      <c r="M3">
        <v>1</v>
      </c>
      <c r="N3" t="s">
        <v>151</v>
      </c>
      <c r="O3" s="85">
        <v>10160</v>
      </c>
      <c r="P3" s="85">
        <f>MISUO[[#This Row],[الكمية]]*MISUO[[#This Row],[سعر البيع ]]</f>
        <v>10160</v>
      </c>
      <c r="Q3" s="85">
        <f>IF(MISUO[[#This Row],[الحالة]]="تم التسليم",MISUO[[#This Row],[إجمالي البيع]],IF(MISUO[[#This Row],[الحالة]]="مرتجع",-MISUO[[#This Row],[إجمالي البيع]],0))</f>
        <v>10160</v>
      </c>
      <c r="R3" s="88" t="s">
        <v>336</v>
      </c>
      <c r="S3" s="89">
        <v>45501</v>
      </c>
      <c r="U3" s="89">
        <v>45515</v>
      </c>
      <c r="V3" s="89" t="str">
        <f>IF(OR(MISUO[[#This Row],[الحالة]]="مرفوض",MISUO[[#This Row],[الحالة]]="مرتجع"),"لم يتم",
IF(MISUO[[#This Row],[تاريخ التسليم]]&lt;=MISUO[[#This Row],[ميعاد التسليم]],"في الموعد","متأخر"))</f>
        <v>متأخر</v>
      </c>
      <c r="W3" t="s">
        <v>28</v>
      </c>
      <c r="X3" s="82" t="s">
        <v>198</v>
      </c>
    </row>
    <row r="4" spans="1:24" hidden="1" x14ac:dyDescent="0.25">
      <c r="A4" s="82" t="s">
        <v>22</v>
      </c>
      <c r="B4" s="82" t="s">
        <v>346</v>
      </c>
      <c r="C4" t="s">
        <v>23</v>
      </c>
      <c r="D4" s="82" t="s">
        <v>341</v>
      </c>
      <c r="E4" s="82" t="s">
        <v>8</v>
      </c>
      <c r="F4" s="82" t="s">
        <v>150</v>
      </c>
      <c r="G4" s="82" t="s">
        <v>165</v>
      </c>
      <c r="H4" t="s">
        <v>154</v>
      </c>
      <c r="I4" t="s">
        <v>356</v>
      </c>
      <c r="J4" s="82">
        <v>90</v>
      </c>
      <c r="K4" t="s">
        <v>355</v>
      </c>
      <c r="L4" t="s">
        <v>150</v>
      </c>
      <c r="M4">
        <v>1</v>
      </c>
      <c r="N4" t="s">
        <v>155</v>
      </c>
      <c r="O4" s="85">
        <v>11455</v>
      </c>
      <c r="P4" s="85">
        <f>MISUO[[#This Row],[الكمية]]*MISUO[[#This Row],[سعر البيع ]]</f>
        <v>11455</v>
      </c>
      <c r="Q4" s="85">
        <f>IF(MISUO[[#This Row],[الحالة]]="تم التسليم",MISUO[[#This Row],[إجمالي البيع]],IF(MISUO[[#This Row],[الحالة]]="مرتجع",-MISUO[[#This Row],[إجمالي البيع]],0))</f>
        <v>0</v>
      </c>
      <c r="R4" s="88" t="s">
        <v>336</v>
      </c>
      <c r="S4" s="89">
        <v>45500</v>
      </c>
      <c r="V4" s="89" t="str">
        <f>IF(OR(MISUO[[#This Row],[الحالة]]="مرفوض",MISUO[[#This Row],[الحالة]]="مرتجع"),"لم يتم",
IF(MISUO[[#This Row],[تاريخ التسليم]]&lt;=MISUO[[#This Row],[ميعاد التسليم]],"في الموعد","متأخر"))</f>
        <v>لم يتم</v>
      </c>
      <c r="X4" s="82" t="s">
        <v>333</v>
      </c>
    </row>
    <row r="5" spans="1:24" x14ac:dyDescent="0.25">
      <c r="A5" s="82" t="s">
        <v>25</v>
      </c>
      <c r="B5" s="82" t="s">
        <v>346</v>
      </c>
      <c r="C5" t="s">
        <v>26</v>
      </c>
      <c r="D5" s="82" t="s">
        <v>342</v>
      </c>
      <c r="E5" s="82" t="s">
        <v>8</v>
      </c>
      <c r="F5" s="82" t="s">
        <v>292</v>
      </c>
      <c r="K5" t="s">
        <v>357</v>
      </c>
      <c r="L5" t="s">
        <v>358</v>
      </c>
      <c r="M5">
        <v>1</v>
      </c>
      <c r="N5" t="s">
        <v>359</v>
      </c>
      <c r="O5" s="85">
        <v>8642</v>
      </c>
      <c r="P5" s="85">
        <f>MISUO[[#This Row],[الكمية]]*MISUO[[#This Row],[سعر البيع ]]</f>
        <v>8642</v>
      </c>
      <c r="Q5" s="85">
        <f>IF(MISUO[[#This Row],[الحالة]]="تم التسليم",MISUO[[#This Row],[إجمالي البيع]],IF(MISUO[[#This Row],[الحالة]]="مرتجع",-MISUO[[#This Row],[إجمالي البيع]],0))</f>
        <v>8642</v>
      </c>
      <c r="R5" s="82" t="s">
        <v>16</v>
      </c>
      <c r="S5" s="89">
        <v>45529</v>
      </c>
      <c r="T5" s="89">
        <v>45542</v>
      </c>
      <c r="U5" s="89">
        <v>45531</v>
      </c>
      <c r="V5" s="89" t="str">
        <f>IF(OR(MISUO[[#This Row],[الحالة]]="مرفوض",MISUO[[#This Row],[الحالة]]="مرتجع"),"لم يتم",
IF(MISUO[[#This Row],[تاريخ التسليم]]&lt;=MISUO[[#This Row],[ميعاد التسليم]],"في الموعد","متأخر"))</f>
        <v>في الموعد</v>
      </c>
      <c r="W5" t="s">
        <v>28</v>
      </c>
      <c r="X5" s="82" t="s">
        <v>198</v>
      </c>
    </row>
    <row r="6" spans="1:24" hidden="1" x14ac:dyDescent="0.25">
      <c r="A6" s="82" t="s">
        <v>29</v>
      </c>
      <c r="B6" s="82" t="s">
        <v>346</v>
      </c>
      <c r="C6" t="s">
        <v>23</v>
      </c>
      <c r="D6" s="82" t="s">
        <v>341</v>
      </c>
      <c r="E6" s="82" t="s">
        <v>8</v>
      </c>
      <c r="F6" s="82" t="s">
        <v>150</v>
      </c>
      <c r="G6" s="82" t="s">
        <v>165</v>
      </c>
      <c r="H6" t="s">
        <v>152</v>
      </c>
      <c r="I6" t="s">
        <v>361</v>
      </c>
      <c r="J6" s="82">
        <v>100</v>
      </c>
      <c r="K6" t="s">
        <v>360</v>
      </c>
      <c r="L6" t="s">
        <v>150</v>
      </c>
      <c r="M6">
        <v>1</v>
      </c>
      <c r="N6" t="s">
        <v>152</v>
      </c>
      <c r="O6" s="85">
        <v>12833</v>
      </c>
      <c r="P6" s="85">
        <f>MISUO[[#This Row],[الكمية]]*MISUO[[#This Row],[سعر البيع ]]</f>
        <v>12833</v>
      </c>
      <c r="Q6" s="85">
        <f>IF(MISUO[[#This Row],[الحالة]]="تم التسليم",MISUO[[#This Row],[إجمالي البيع]],IF(MISUO[[#This Row],[الحالة]]="مرتجع",-MISUO[[#This Row],[إجمالي البيع]],0))</f>
        <v>0</v>
      </c>
      <c r="R6" s="88" t="s">
        <v>336</v>
      </c>
      <c r="S6" s="89">
        <v>45520</v>
      </c>
      <c r="T6" s="89">
        <v>45535</v>
      </c>
      <c r="V6" s="89" t="str">
        <f>IF(OR(MISUO[[#This Row],[الحالة]]="مرفوض",MISUO[[#This Row],[الحالة]]="مرتجع"),"لم يتم",
IF(MISUO[[#This Row],[تاريخ التسليم]]&lt;=MISUO[[#This Row],[ميعاد التسليم]],"في الموعد","متأخر"))</f>
        <v>لم يتم</v>
      </c>
      <c r="X6" s="82" t="s">
        <v>333</v>
      </c>
    </row>
    <row r="7" spans="1:24" x14ac:dyDescent="0.25">
      <c r="A7" s="82" t="s">
        <v>31</v>
      </c>
      <c r="B7" s="82" t="s">
        <v>347</v>
      </c>
      <c r="D7" s="82"/>
      <c r="E7" s="82" t="s">
        <v>52</v>
      </c>
      <c r="F7" s="82" t="s">
        <v>166</v>
      </c>
      <c r="G7" s="82" t="s">
        <v>206</v>
      </c>
      <c r="H7" t="s">
        <v>258</v>
      </c>
      <c r="I7" t="s">
        <v>361</v>
      </c>
      <c r="K7" t="s">
        <v>362</v>
      </c>
      <c r="L7" t="s">
        <v>161</v>
      </c>
      <c r="M7">
        <v>1</v>
      </c>
      <c r="N7" t="s">
        <v>363</v>
      </c>
      <c r="O7" s="85">
        <v>14550</v>
      </c>
      <c r="P7" s="85">
        <f>MISUO[[#This Row],[الكمية]]*MISUO[[#This Row],[سعر البيع ]]</f>
        <v>14550</v>
      </c>
      <c r="Q7" s="85">
        <f>IF(MISUO[[#This Row],[الحالة]]="تم التسليم",MISUO[[#This Row],[إجمالي البيع]],IF(MISUO[[#This Row],[الحالة]]="مرتجع",-MISUO[[#This Row],[إجمالي البيع]],0))</f>
        <v>14550</v>
      </c>
      <c r="R7" s="82" t="s">
        <v>16</v>
      </c>
      <c r="S7" s="89">
        <v>45518</v>
      </c>
      <c r="T7" s="89">
        <v>45538</v>
      </c>
      <c r="U7" s="89">
        <v>45540</v>
      </c>
      <c r="V7" s="89" t="str">
        <f>IF(OR(MISUO[[#This Row],[الحالة]]="مرفوض",MISUO[[#This Row],[الحالة]]="مرتجع"),"لم يتم",
IF(MISUO[[#This Row],[تاريخ التسليم]]&lt;=MISUO[[#This Row],[ميعاد التسليم]],"في الموعد","متأخر"))</f>
        <v>متأخر</v>
      </c>
      <c r="W7" t="s">
        <v>28</v>
      </c>
      <c r="X7" s="82" t="s">
        <v>198</v>
      </c>
    </row>
    <row r="8" spans="1:24" x14ac:dyDescent="0.25">
      <c r="A8" s="82" t="s">
        <v>33</v>
      </c>
      <c r="B8" s="82" t="s">
        <v>346</v>
      </c>
      <c r="C8" t="s">
        <v>34</v>
      </c>
      <c r="D8" s="82" t="s">
        <v>343</v>
      </c>
      <c r="E8" s="82" t="s">
        <v>35</v>
      </c>
      <c r="F8" s="82" t="s">
        <v>166</v>
      </c>
      <c r="G8" s="82" t="s">
        <v>206</v>
      </c>
      <c r="H8" t="s">
        <v>258</v>
      </c>
      <c r="I8" t="s">
        <v>361</v>
      </c>
      <c r="K8" t="s">
        <v>362</v>
      </c>
      <c r="L8" t="s">
        <v>161</v>
      </c>
      <c r="M8">
        <v>1</v>
      </c>
      <c r="N8" t="s">
        <v>363</v>
      </c>
      <c r="O8" s="85">
        <v>12000</v>
      </c>
      <c r="P8" s="85">
        <f>MISUO[[#This Row],[الكمية]]*MISUO[[#This Row],[سعر البيع ]]</f>
        <v>12000</v>
      </c>
      <c r="Q8" s="85">
        <f>IF(MISUO[[#This Row],[الحالة]]="تم التسليم",MISUO[[#This Row],[إجمالي البيع]],IF(MISUO[[#This Row],[الحالة]]="مرتجع",-MISUO[[#This Row],[إجمالي البيع]],0))</f>
        <v>12000</v>
      </c>
      <c r="R8" s="88" t="s">
        <v>336</v>
      </c>
      <c r="S8" s="89">
        <v>45521</v>
      </c>
      <c r="T8" s="89">
        <v>45524</v>
      </c>
      <c r="U8" s="89">
        <v>45523</v>
      </c>
      <c r="V8" s="89" t="str">
        <f>IF(OR(MISUO[[#This Row],[الحالة]]="مرفوض",MISUO[[#This Row],[الحالة]]="مرتجع"),"لم يتم",
IF(MISUO[[#This Row],[تاريخ التسليم]]&lt;=MISUO[[#This Row],[ميعاد التسليم]],"في الموعد","متأخر"))</f>
        <v>في الموعد</v>
      </c>
      <c r="W8" t="s">
        <v>36</v>
      </c>
      <c r="X8" s="82" t="s">
        <v>198</v>
      </c>
    </row>
    <row r="9" spans="1:24" x14ac:dyDescent="0.25">
      <c r="A9" s="82" t="s">
        <v>38</v>
      </c>
      <c r="B9" s="82" t="s">
        <v>346</v>
      </c>
      <c r="C9" t="s">
        <v>39</v>
      </c>
      <c r="D9" s="82" t="s">
        <v>339</v>
      </c>
      <c r="E9" s="82" t="s">
        <v>8</v>
      </c>
      <c r="F9" s="82" t="s">
        <v>150</v>
      </c>
      <c r="G9" s="82" t="s">
        <v>153</v>
      </c>
      <c r="I9" t="s">
        <v>352</v>
      </c>
      <c r="K9" t="s">
        <v>364</v>
      </c>
      <c r="L9" t="s">
        <v>150</v>
      </c>
      <c r="M9">
        <v>1</v>
      </c>
      <c r="N9" t="s">
        <v>365</v>
      </c>
      <c r="O9" s="85">
        <v>7228</v>
      </c>
      <c r="P9" s="85">
        <f>MISUO[[#This Row],[الكمية]]*MISUO[[#This Row],[سعر البيع ]]</f>
        <v>7228</v>
      </c>
      <c r="Q9" s="85">
        <f>IF(MISUO[[#This Row],[الحالة]]="تم التسليم",MISUO[[#This Row],[إجمالي البيع]],IF(MISUO[[#This Row],[الحالة]]="مرتجع",-MISUO[[#This Row],[إجمالي البيع]],0))</f>
        <v>7228</v>
      </c>
      <c r="R9" s="88" t="s">
        <v>16</v>
      </c>
      <c r="S9" s="89">
        <v>45529</v>
      </c>
      <c r="T9" s="89">
        <v>45538</v>
      </c>
      <c r="U9" s="89">
        <v>45545</v>
      </c>
      <c r="V9" s="89" t="str">
        <f>IF(OR(MISUO[[#This Row],[الحالة]]="مرفوض",MISUO[[#This Row],[الحالة]]="مرتجع"),"لم يتم",
IF(MISUO[[#This Row],[تاريخ التسليم]]&lt;=MISUO[[#This Row],[ميعاد التسليم]],"في الموعد","متأخر"))</f>
        <v>متأخر</v>
      </c>
      <c r="W9" t="s">
        <v>28</v>
      </c>
      <c r="X9" s="82" t="s">
        <v>198</v>
      </c>
    </row>
    <row r="10" spans="1:24" x14ac:dyDescent="0.25">
      <c r="A10" s="82" t="s">
        <v>41</v>
      </c>
      <c r="B10" s="82" t="s">
        <v>347</v>
      </c>
      <c r="C10" t="s">
        <v>42</v>
      </c>
      <c r="D10" s="82" t="s">
        <v>343</v>
      </c>
      <c r="E10" s="82" t="s">
        <v>43</v>
      </c>
      <c r="F10" s="82" t="s">
        <v>158</v>
      </c>
      <c r="G10" s="82" t="s">
        <v>160</v>
      </c>
      <c r="K10" t="s">
        <v>366</v>
      </c>
      <c r="L10" t="s">
        <v>158</v>
      </c>
      <c r="M10">
        <v>1</v>
      </c>
      <c r="N10" t="s">
        <v>158</v>
      </c>
      <c r="O10" s="85">
        <v>22000</v>
      </c>
      <c r="P10" s="85">
        <f>MISUO[[#This Row],[الكمية]]*MISUO[[#This Row],[سعر البيع ]]</f>
        <v>22000</v>
      </c>
      <c r="Q10" s="85">
        <f>IF(MISUO[[#This Row],[الحالة]]="تم التسليم",MISUO[[#This Row],[إجمالي البيع]],IF(MISUO[[#This Row],[الحالة]]="مرتجع",-MISUO[[#This Row],[إجمالي البيع]],0))</f>
        <v>22000</v>
      </c>
      <c r="R10" s="88" t="s">
        <v>336</v>
      </c>
      <c r="S10" s="89">
        <v>45523</v>
      </c>
      <c r="T10" s="89">
        <v>45536</v>
      </c>
      <c r="U10" s="89">
        <v>45552</v>
      </c>
      <c r="V10" s="89" t="str">
        <f>IF(OR(MISUO[[#This Row],[الحالة]]="مرفوض",MISUO[[#This Row],[الحالة]]="مرتجع"),"لم يتم",
IF(MISUO[[#This Row],[تاريخ التسليم]]&lt;=MISUO[[#This Row],[ميعاد التسليم]],"في الموعد","متأخر"))</f>
        <v>متأخر</v>
      </c>
      <c r="X10" s="82" t="s">
        <v>198</v>
      </c>
    </row>
    <row r="11" spans="1:24" hidden="1" x14ac:dyDescent="0.25">
      <c r="A11" s="82" t="s">
        <v>41</v>
      </c>
      <c r="B11" s="82" t="s">
        <v>347</v>
      </c>
      <c r="C11" t="s">
        <v>42</v>
      </c>
      <c r="D11" s="82" t="s">
        <v>343</v>
      </c>
      <c r="E11" s="82" t="s">
        <v>43</v>
      </c>
      <c r="F11" s="82" t="s">
        <v>166</v>
      </c>
      <c r="G11" s="82" t="s">
        <v>159</v>
      </c>
      <c r="K11" t="s">
        <v>367</v>
      </c>
      <c r="L11" t="s">
        <v>161</v>
      </c>
      <c r="M11">
        <v>2</v>
      </c>
      <c r="N11" t="s">
        <v>159</v>
      </c>
      <c r="O11" s="85">
        <v>16000</v>
      </c>
      <c r="P11" s="85">
        <f>MISUO[[#This Row],[الكمية]]*MISUO[[#This Row],[سعر البيع ]]</f>
        <v>32000</v>
      </c>
      <c r="Q11" s="85">
        <f>IF(MISUO[[#This Row],[الحالة]]="تم التسليم",MISUO[[#This Row],[إجمالي البيع]],IF(MISUO[[#This Row],[الحالة]]="مرتجع",-MISUO[[#This Row],[إجمالي البيع]],0))</f>
        <v>0</v>
      </c>
      <c r="R11" s="88" t="s">
        <v>336</v>
      </c>
      <c r="V11" s="89" t="str">
        <f>IF(OR(MISUO[[#This Row],[الحالة]]="مرفوض",MISUO[[#This Row],[الحالة]]="مرتجع"),"لم يتم",
IF(MISUO[[#This Row],[تاريخ التسليم]]&lt;=MISUO[[#This Row],[ميعاد التسليم]],"في الموعد","متأخر"))</f>
        <v>لم يتم</v>
      </c>
      <c r="X11" s="82" t="s">
        <v>333</v>
      </c>
    </row>
    <row r="12" spans="1:24" x14ac:dyDescent="0.25">
      <c r="A12" s="82" t="s">
        <v>41</v>
      </c>
      <c r="B12" s="82" t="s">
        <v>347</v>
      </c>
      <c r="C12" t="s">
        <v>46</v>
      </c>
      <c r="D12" s="82" t="s">
        <v>343</v>
      </c>
      <c r="E12" s="82" t="s">
        <v>43</v>
      </c>
      <c r="F12" s="82" t="s">
        <v>166</v>
      </c>
      <c r="G12" s="82" t="s">
        <v>159</v>
      </c>
      <c r="K12" t="s">
        <v>368</v>
      </c>
      <c r="L12" t="s">
        <v>161</v>
      </c>
      <c r="M12">
        <v>2</v>
      </c>
      <c r="N12" t="s">
        <v>159</v>
      </c>
      <c r="O12" s="85">
        <v>6000</v>
      </c>
      <c r="P12" s="85">
        <f>MISUO[[#This Row],[الكمية]]*MISUO[[#This Row],[سعر البيع ]]</f>
        <v>12000</v>
      </c>
      <c r="Q12" s="85">
        <f>IF(MISUO[[#This Row],[الحالة]]="تم التسليم",MISUO[[#This Row],[إجمالي البيع]],IF(MISUO[[#This Row],[الحالة]]="مرتجع",-MISUO[[#This Row],[إجمالي البيع]],0))</f>
        <v>12000</v>
      </c>
      <c r="R12" s="88" t="s">
        <v>336</v>
      </c>
      <c r="S12" s="89">
        <v>45529</v>
      </c>
      <c r="T12" s="89">
        <v>45550</v>
      </c>
      <c r="U12" s="89">
        <v>45552</v>
      </c>
      <c r="V12" s="89" t="str">
        <f>IF(OR(MISUO[[#This Row],[الحالة]]="مرفوض",MISUO[[#This Row],[الحالة]]="مرتجع"),"لم يتم",
IF(MISUO[[#This Row],[تاريخ التسليم]]&lt;=MISUO[[#This Row],[ميعاد التسليم]],"في الموعد","متأخر"))</f>
        <v>متأخر</v>
      </c>
      <c r="W12" t="s">
        <v>199</v>
      </c>
      <c r="X12" s="82" t="s">
        <v>198</v>
      </c>
    </row>
    <row r="13" spans="1:24" x14ac:dyDescent="0.25">
      <c r="A13" s="82" t="s">
        <v>41</v>
      </c>
      <c r="B13" s="82" t="s">
        <v>347</v>
      </c>
      <c r="C13" t="s">
        <v>46</v>
      </c>
      <c r="D13" s="82" t="s">
        <v>343</v>
      </c>
      <c r="E13" s="82" t="s">
        <v>43</v>
      </c>
      <c r="F13" s="82" t="s">
        <v>166</v>
      </c>
      <c r="G13" s="82" t="s">
        <v>159</v>
      </c>
      <c r="K13" t="s">
        <v>368</v>
      </c>
      <c r="L13" t="s">
        <v>161</v>
      </c>
      <c r="M13">
        <v>2</v>
      </c>
      <c r="N13" t="s">
        <v>159</v>
      </c>
      <c r="O13" s="85">
        <v>6000</v>
      </c>
      <c r="P13" s="85">
        <f>MISUO[[#This Row],[الكمية]]*MISUO[[#This Row],[سعر البيع ]]</f>
        <v>12000</v>
      </c>
      <c r="Q13" s="85">
        <f>IF(MISUO[[#This Row],[الحالة]]="تم التسليم",MISUO[[#This Row],[إجمالي البيع]],IF(MISUO[[#This Row],[الحالة]]="مرتجع",-MISUO[[#This Row],[إجمالي البيع]],0))</f>
        <v>12000</v>
      </c>
      <c r="R13" s="88" t="s">
        <v>336</v>
      </c>
      <c r="S13" s="89">
        <v>45529</v>
      </c>
      <c r="T13" s="89">
        <v>45550</v>
      </c>
      <c r="U13" s="89">
        <v>45552</v>
      </c>
      <c r="V13" s="89" t="str">
        <f>IF(OR(MISUO[[#This Row],[الحالة]]="مرفوض",MISUO[[#This Row],[الحالة]]="مرتجع"),"لم يتم",
IF(MISUO[[#This Row],[تاريخ التسليم]]&lt;=MISUO[[#This Row],[ميعاد التسليم]],"في الموعد","متأخر"))</f>
        <v>متأخر</v>
      </c>
      <c r="W13" t="s">
        <v>199</v>
      </c>
      <c r="X13" s="82" t="s">
        <v>198</v>
      </c>
    </row>
    <row r="14" spans="1:24" x14ac:dyDescent="0.25">
      <c r="A14" s="82" t="s">
        <v>48</v>
      </c>
      <c r="B14" s="82" t="s">
        <v>346</v>
      </c>
      <c r="C14" t="s">
        <v>49</v>
      </c>
      <c r="D14" s="82" t="s">
        <v>343</v>
      </c>
      <c r="E14" s="82" t="s">
        <v>8</v>
      </c>
      <c r="F14" s="82" t="s">
        <v>150</v>
      </c>
      <c r="G14" s="82" t="s">
        <v>165</v>
      </c>
      <c r="H14" t="s">
        <v>152</v>
      </c>
      <c r="I14" t="s">
        <v>352</v>
      </c>
      <c r="J14" s="82">
        <v>80</v>
      </c>
      <c r="K14" t="s">
        <v>50</v>
      </c>
      <c r="L14" t="s">
        <v>150</v>
      </c>
      <c r="M14">
        <v>1</v>
      </c>
      <c r="N14" t="s">
        <v>152</v>
      </c>
      <c r="O14" s="85">
        <v>10499</v>
      </c>
      <c r="P14" s="85">
        <f>MISUO[[#This Row],[الكمية]]*MISUO[[#This Row],[سعر البيع ]]</f>
        <v>10499</v>
      </c>
      <c r="Q14" s="85">
        <f>IF(MISUO[[#This Row],[الحالة]]="تم التسليم",MISUO[[#This Row],[إجمالي البيع]],IF(MISUO[[#This Row],[الحالة]]="مرتجع",-MISUO[[#This Row],[إجمالي البيع]],0))</f>
        <v>10499</v>
      </c>
      <c r="R14" s="88" t="s">
        <v>336</v>
      </c>
      <c r="S14" s="89">
        <v>45536</v>
      </c>
      <c r="T14" s="89">
        <v>45551</v>
      </c>
      <c r="U14" s="89">
        <v>45543</v>
      </c>
      <c r="V14" s="89" t="str">
        <f>IF(OR(MISUO[[#This Row],[الحالة]]="مرفوض",MISUO[[#This Row],[الحالة]]="مرتجع"),"لم يتم",
IF(MISUO[[#This Row],[تاريخ التسليم]]&lt;=MISUO[[#This Row],[ميعاد التسليم]],"في الموعد","متأخر"))</f>
        <v>في الموعد</v>
      </c>
      <c r="W14" t="s">
        <v>28</v>
      </c>
      <c r="X14" s="82" t="s">
        <v>198</v>
      </c>
    </row>
    <row r="15" spans="1:24" hidden="1" x14ac:dyDescent="0.25">
      <c r="A15" s="82" t="s">
        <v>65</v>
      </c>
      <c r="B15" s="82" t="s">
        <v>346</v>
      </c>
      <c r="C15" t="s">
        <v>39</v>
      </c>
      <c r="D15" s="82" t="s">
        <v>339</v>
      </c>
      <c r="E15" s="82" t="s">
        <v>8</v>
      </c>
      <c r="F15" s="82" t="s">
        <v>150</v>
      </c>
      <c r="G15" s="82" t="s">
        <v>153</v>
      </c>
      <c r="H15" t="s">
        <v>152</v>
      </c>
      <c r="I15" t="s">
        <v>352</v>
      </c>
      <c r="J15" s="82">
        <v>80</v>
      </c>
      <c r="K15" t="s">
        <v>66</v>
      </c>
      <c r="L15" t="s">
        <v>150</v>
      </c>
      <c r="M15">
        <v>4</v>
      </c>
      <c r="N15" t="s">
        <v>365</v>
      </c>
      <c r="O15" s="85">
        <v>7295</v>
      </c>
      <c r="P15" s="85">
        <f>MISUO[[#This Row],[الكمية]]*MISUO[[#This Row],[سعر البيع ]]</f>
        <v>29180</v>
      </c>
      <c r="Q15" s="85">
        <f>IF(MISUO[[#This Row],[الحالة]]="تم التسليم",MISUO[[#This Row],[إجمالي البيع]],IF(MISUO[[#This Row],[الحالة]]="مرتجع",-MISUO[[#This Row],[إجمالي البيع]],0))</f>
        <v>0</v>
      </c>
      <c r="R15" s="88" t="s">
        <v>336</v>
      </c>
      <c r="S15" s="89">
        <v>45540</v>
      </c>
      <c r="T15" s="89">
        <v>45549</v>
      </c>
      <c r="V15" s="89" t="str">
        <f>IF(OR(MISUO[[#This Row],[الحالة]]="مرفوض",MISUO[[#This Row],[الحالة]]="مرتجع"),"لم يتم",
IF(MISUO[[#This Row],[تاريخ التسليم]]&lt;=MISUO[[#This Row],[ميعاد التسليم]],"في الموعد","متأخر"))</f>
        <v>لم يتم</v>
      </c>
      <c r="X15" s="82" t="s">
        <v>333</v>
      </c>
    </row>
    <row r="16" spans="1:24" hidden="1" x14ac:dyDescent="0.25">
      <c r="A16" s="82" t="s">
        <v>61</v>
      </c>
      <c r="B16" s="82" t="s">
        <v>346</v>
      </c>
      <c r="C16" t="s">
        <v>62</v>
      </c>
      <c r="D16" s="82" t="s">
        <v>343</v>
      </c>
      <c r="E16" s="82" t="s">
        <v>8</v>
      </c>
      <c r="F16" s="82" t="s">
        <v>292</v>
      </c>
      <c r="G16" s="82" t="s">
        <v>187</v>
      </c>
      <c r="K16" t="s">
        <v>369</v>
      </c>
      <c r="L16" t="s">
        <v>358</v>
      </c>
      <c r="M16">
        <v>1</v>
      </c>
      <c r="N16" t="s">
        <v>370</v>
      </c>
      <c r="O16" s="85">
        <v>7849</v>
      </c>
      <c r="P16" s="85">
        <f>MISUO[[#This Row],[الكمية]]*MISUO[[#This Row],[سعر البيع ]]</f>
        <v>7849</v>
      </c>
      <c r="Q16" s="85">
        <f>IF(MISUO[[#This Row],[الحالة]]="تم التسليم",MISUO[[#This Row],[إجمالي البيع]],IF(MISUO[[#This Row],[الحالة]]="مرتجع",-MISUO[[#This Row],[إجمالي البيع]],0))</f>
        <v>-7849</v>
      </c>
      <c r="R16" s="82" t="s">
        <v>16</v>
      </c>
      <c r="S16" s="89">
        <v>45539</v>
      </c>
      <c r="T16" s="89">
        <v>45551</v>
      </c>
      <c r="U16" s="89">
        <v>45560</v>
      </c>
      <c r="V16" s="89" t="str">
        <f>IF(OR(MISUO[[#This Row],[الحالة]]="مرفوض",MISUO[[#This Row],[الحالة]]="مرتجع"),"لم يتم",
IF(MISUO[[#This Row],[تاريخ التسليم]]&lt;=MISUO[[#This Row],[ميعاد التسليم]],"في الموعد","متأخر"))</f>
        <v>لم يتم</v>
      </c>
      <c r="W16" t="s">
        <v>28</v>
      </c>
      <c r="X16" s="82" t="s">
        <v>208</v>
      </c>
    </row>
    <row r="17" spans="1:24" x14ac:dyDescent="0.25">
      <c r="A17" s="82" t="s">
        <v>54</v>
      </c>
      <c r="B17" s="82" t="s">
        <v>346</v>
      </c>
      <c r="C17" t="s">
        <v>55</v>
      </c>
      <c r="D17" s="82" t="s">
        <v>343</v>
      </c>
      <c r="E17" s="82" t="s">
        <v>56</v>
      </c>
      <c r="F17" s="82" t="s">
        <v>150</v>
      </c>
      <c r="G17" s="82" t="s">
        <v>165</v>
      </c>
      <c r="H17" t="s">
        <v>154</v>
      </c>
      <c r="I17" t="s">
        <v>354</v>
      </c>
      <c r="J17" s="82">
        <v>120</v>
      </c>
      <c r="K17" t="s">
        <v>371</v>
      </c>
      <c r="L17" t="s">
        <v>150</v>
      </c>
      <c r="M17">
        <v>2</v>
      </c>
      <c r="N17" t="s">
        <v>155</v>
      </c>
      <c r="O17" s="85">
        <v>6180</v>
      </c>
      <c r="P17" s="85">
        <f>MISUO[[#This Row],[الكمية]]*MISUO[[#This Row],[سعر البيع ]]</f>
        <v>12360</v>
      </c>
      <c r="Q17" s="85">
        <f>IF(MISUO[[#This Row],[الحالة]]="تم التسليم",MISUO[[#This Row],[إجمالي البيع]],IF(MISUO[[#This Row],[الحالة]]="مرتجع",-MISUO[[#This Row],[إجمالي البيع]],0))</f>
        <v>12360</v>
      </c>
      <c r="R17" s="88" t="s">
        <v>336</v>
      </c>
      <c r="S17" s="89">
        <v>45538</v>
      </c>
      <c r="T17" s="89">
        <v>45551</v>
      </c>
      <c r="U17" s="89">
        <v>45550</v>
      </c>
      <c r="V17" s="89" t="str">
        <f>IF(OR(MISUO[[#This Row],[الحالة]]="مرفوض",MISUO[[#This Row],[الحالة]]="مرتجع"),"لم يتم",
IF(MISUO[[#This Row],[تاريخ التسليم]]&lt;=MISUO[[#This Row],[ميعاد التسليم]],"في الموعد","متأخر"))</f>
        <v>في الموعد</v>
      </c>
      <c r="W17" t="s">
        <v>199</v>
      </c>
      <c r="X17" s="82" t="s">
        <v>198</v>
      </c>
    </row>
    <row r="18" spans="1:24" x14ac:dyDescent="0.25">
      <c r="A18" s="82" t="s">
        <v>54</v>
      </c>
      <c r="B18" s="82" t="s">
        <v>346</v>
      </c>
      <c r="C18" t="s">
        <v>55</v>
      </c>
      <c r="D18" s="82" t="s">
        <v>343</v>
      </c>
      <c r="E18" s="82" t="s">
        <v>56</v>
      </c>
      <c r="F18" s="82" t="s">
        <v>150</v>
      </c>
      <c r="G18" s="82" t="s">
        <v>165</v>
      </c>
      <c r="H18" t="s">
        <v>154</v>
      </c>
      <c r="I18" t="s">
        <v>354</v>
      </c>
      <c r="J18" s="82">
        <v>120</v>
      </c>
      <c r="K18" t="s">
        <v>371</v>
      </c>
      <c r="L18" t="s">
        <v>150</v>
      </c>
      <c r="M18">
        <v>2</v>
      </c>
      <c r="N18" t="s">
        <v>155</v>
      </c>
      <c r="O18" s="85">
        <v>6180</v>
      </c>
      <c r="P18" s="85">
        <f>MISUO[[#This Row],[الكمية]]*MISUO[[#This Row],[سعر البيع ]]</f>
        <v>12360</v>
      </c>
      <c r="Q18" s="85">
        <f>IF(MISUO[[#This Row],[الحالة]]="تم التسليم",MISUO[[#This Row],[إجمالي البيع]],IF(MISUO[[#This Row],[الحالة]]="مرتجع",-MISUO[[#This Row],[إجمالي البيع]],0))</f>
        <v>12360</v>
      </c>
      <c r="R18" s="88" t="s">
        <v>336</v>
      </c>
      <c r="S18" s="89">
        <v>45538</v>
      </c>
      <c r="T18" s="89">
        <v>45551</v>
      </c>
      <c r="U18" s="89">
        <v>45550</v>
      </c>
      <c r="V18" s="89" t="str">
        <f>IF(OR(MISUO[[#This Row],[الحالة]]="مرفوض",MISUO[[#This Row],[الحالة]]="مرتجع"),"لم يتم",
IF(MISUO[[#This Row],[تاريخ التسليم]]&lt;=MISUO[[#This Row],[ميعاد التسليم]],"في الموعد","متأخر"))</f>
        <v>في الموعد</v>
      </c>
      <c r="W18" t="s">
        <v>199</v>
      </c>
      <c r="X18" s="82" t="s">
        <v>198</v>
      </c>
    </row>
    <row r="19" spans="1:24" hidden="1" x14ac:dyDescent="0.25">
      <c r="A19" s="82" t="s">
        <v>58</v>
      </c>
      <c r="B19" s="82" t="s">
        <v>346</v>
      </c>
      <c r="C19" t="s">
        <v>59</v>
      </c>
      <c r="D19" s="82" t="s">
        <v>343</v>
      </c>
      <c r="E19" s="82" t="s">
        <v>8</v>
      </c>
      <c r="F19" s="82" t="s">
        <v>150</v>
      </c>
      <c r="G19" s="82" t="s">
        <v>165</v>
      </c>
      <c r="H19" t="s">
        <v>154</v>
      </c>
      <c r="I19" t="s">
        <v>352</v>
      </c>
      <c r="J19" s="82">
        <v>80</v>
      </c>
      <c r="K19" t="s">
        <v>372</v>
      </c>
      <c r="L19" t="s">
        <v>150</v>
      </c>
      <c r="M19">
        <v>1</v>
      </c>
      <c r="N19" t="s">
        <v>154</v>
      </c>
      <c r="O19" s="85">
        <v>11199</v>
      </c>
      <c r="P19" s="85">
        <f>MISUO[[#This Row],[الكمية]]*MISUO[[#This Row],[سعر البيع ]]</f>
        <v>11199</v>
      </c>
      <c r="Q19" s="85">
        <f>IF(MISUO[[#This Row],[الحالة]]="تم التسليم",MISUO[[#This Row],[إجمالي البيع]],IF(MISUO[[#This Row],[الحالة]]="مرتجع",-MISUO[[#This Row],[إجمالي البيع]],0))</f>
        <v>0</v>
      </c>
      <c r="R19" s="88" t="s">
        <v>336</v>
      </c>
      <c r="S19" s="89">
        <v>45539</v>
      </c>
      <c r="T19" s="89">
        <v>45553</v>
      </c>
      <c r="V19" s="89" t="str">
        <f>IF(OR(MISUO[[#This Row],[الحالة]]="مرفوض",MISUO[[#This Row],[الحالة]]="مرتجع"),"لم يتم",
IF(MISUO[[#This Row],[تاريخ التسليم]]&lt;=MISUO[[#This Row],[ميعاد التسليم]],"في الموعد","متأخر"))</f>
        <v>لم يتم</v>
      </c>
      <c r="X19" s="82" t="s">
        <v>333</v>
      </c>
    </row>
    <row r="20" spans="1:24" x14ac:dyDescent="0.25">
      <c r="A20" s="82" t="s">
        <v>33</v>
      </c>
      <c r="B20" s="82" t="s">
        <v>346</v>
      </c>
      <c r="C20" t="s">
        <v>67</v>
      </c>
      <c r="D20" s="82" t="s">
        <v>343</v>
      </c>
      <c r="E20" s="82" t="s">
        <v>8</v>
      </c>
      <c r="F20" s="82" t="s">
        <v>150</v>
      </c>
      <c r="G20" s="82" t="s">
        <v>153</v>
      </c>
      <c r="H20" t="s">
        <v>177</v>
      </c>
      <c r="I20" t="s">
        <v>352</v>
      </c>
      <c r="J20" s="82">
        <v>80</v>
      </c>
      <c r="K20" t="s">
        <v>66</v>
      </c>
      <c r="L20" t="s">
        <v>150</v>
      </c>
      <c r="M20">
        <v>4</v>
      </c>
      <c r="N20" t="s">
        <v>365</v>
      </c>
      <c r="O20" s="85">
        <v>7987</v>
      </c>
      <c r="P20" s="85">
        <f>MISUO[[#This Row],[الكمية]]*MISUO[[#This Row],[سعر البيع ]]</f>
        <v>31948</v>
      </c>
      <c r="Q20" s="85">
        <f>IF(MISUO[[#This Row],[الحالة]]="تم التسليم",MISUO[[#This Row],[إجمالي البيع]],IF(MISUO[[#This Row],[الحالة]]="مرتجع",-MISUO[[#This Row],[إجمالي البيع]],0))</f>
        <v>31948</v>
      </c>
      <c r="R20" s="88" t="s">
        <v>16</v>
      </c>
      <c r="S20" s="89">
        <v>45541</v>
      </c>
      <c r="T20" s="89">
        <v>45551</v>
      </c>
      <c r="U20" s="89">
        <v>45556</v>
      </c>
      <c r="V20" s="89" t="str">
        <f>IF(OR(MISUO[[#This Row],[الحالة]]="مرفوض",MISUO[[#This Row],[الحالة]]="مرتجع"),"لم يتم",
IF(MISUO[[#This Row],[تاريخ التسليم]]&lt;=MISUO[[#This Row],[ميعاد التسليم]],"في الموعد","متأخر"))</f>
        <v>متأخر</v>
      </c>
      <c r="W20" t="s">
        <v>199</v>
      </c>
      <c r="X20" s="82" t="s">
        <v>198</v>
      </c>
    </row>
    <row r="21" spans="1:24" x14ac:dyDescent="0.25">
      <c r="A21" s="82" t="s">
        <v>43</v>
      </c>
      <c r="B21" s="82" t="s">
        <v>347</v>
      </c>
      <c r="C21" t="s">
        <v>42</v>
      </c>
      <c r="D21" s="82" t="s">
        <v>343</v>
      </c>
      <c r="E21" s="82" t="s">
        <v>43</v>
      </c>
      <c r="F21" s="82" t="s">
        <v>162</v>
      </c>
      <c r="G21" s="82" t="s">
        <v>163</v>
      </c>
      <c r="K21" t="s">
        <v>373</v>
      </c>
      <c r="L21" t="s">
        <v>374</v>
      </c>
      <c r="M21">
        <v>2</v>
      </c>
      <c r="N21" t="s">
        <v>374</v>
      </c>
      <c r="O21" s="85">
        <v>9300</v>
      </c>
      <c r="P21" s="85">
        <f>MISUO[[#This Row],[الكمية]]*MISUO[[#This Row],[سعر البيع ]]</f>
        <v>18600</v>
      </c>
      <c r="Q21" s="85">
        <f>IF(MISUO[[#This Row],[الحالة]]="تم التسليم",MISUO[[#This Row],[إجمالي البيع]],IF(MISUO[[#This Row],[الحالة]]="مرتجع",-MISUO[[#This Row],[إجمالي البيع]],0))</f>
        <v>18600</v>
      </c>
      <c r="R21" s="88" t="s">
        <v>336</v>
      </c>
      <c r="S21" s="89">
        <v>45539</v>
      </c>
      <c r="T21" s="89">
        <v>45550</v>
      </c>
      <c r="U21" s="89">
        <v>45552</v>
      </c>
      <c r="V21" s="89" t="str">
        <f>IF(OR(MISUO[[#This Row],[الحالة]]="مرفوض",MISUO[[#This Row],[الحالة]]="مرتجع"),"لم يتم",
IF(MISUO[[#This Row],[تاريخ التسليم]]&lt;=MISUO[[#This Row],[ميعاد التسليم]],"في الموعد","متأخر"))</f>
        <v>متأخر</v>
      </c>
      <c r="W21" t="s">
        <v>199</v>
      </c>
      <c r="X21" s="82" t="s">
        <v>198</v>
      </c>
    </row>
    <row r="22" spans="1:24" x14ac:dyDescent="0.25">
      <c r="A22" s="82" t="s">
        <v>33</v>
      </c>
      <c r="B22" s="82" t="s">
        <v>346</v>
      </c>
      <c r="C22" t="s">
        <v>67</v>
      </c>
      <c r="D22" s="82" t="s">
        <v>343</v>
      </c>
      <c r="E22" s="82" t="s">
        <v>8</v>
      </c>
      <c r="F22" s="82" t="s">
        <v>150</v>
      </c>
      <c r="G22" s="82" t="s">
        <v>153</v>
      </c>
      <c r="H22" t="s">
        <v>177</v>
      </c>
      <c r="I22" t="s">
        <v>352</v>
      </c>
      <c r="J22" s="82">
        <v>80</v>
      </c>
      <c r="K22" t="s">
        <v>66</v>
      </c>
      <c r="L22" t="s">
        <v>150</v>
      </c>
      <c r="M22">
        <v>4</v>
      </c>
      <c r="N22" t="s">
        <v>365</v>
      </c>
      <c r="O22" s="85">
        <v>7987</v>
      </c>
      <c r="P22" s="85">
        <f>MISUO[[#This Row],[الكمية]]*MISUO[[#This Row],[سعر البيع ]]</f>
        <v>31948</v>
      </c>
      <c r="Q22" s="85">
        <f>IF(MISUO[[#This Row],[الحالة]]="تم التسليم",MISUO[[#This Row],[إجمالي البيع]],IF(MISUO[[#This Row],[الحالة]]="مرتجع",-MISUO[[#This Row],[إجمالي البيع]],0))</f>
        <v>31948</v>
      </c>
      <c r="R22" s="88" t="s">
        <v>16</v>
      </c>
      <c r="S22" s="89">
        <v>45541</v>
      </c>
      <c r="T22" s="89">
        <v>45551</v>
      </c>
      <c r="U22" s="89">
        <v>45556</v>
      </c>
      <c r="V22" s="89" t="str">
        <f>IF(OR(MISUO[[#This Row],[الحالة]]="مرفوض",MISUO[[#This Row],[الحالة]]="مرتجع"),"لم يتم",
IF(MISUO[[#This Row],[تاريخ التسليم]]&lt;=MISUO[[#This Row],[ميعاد التسليم]],"في الموعد","متأخر"))</f>
        <v>متأخر</v>
      </c>
      <c r="W22" t="s">
        <v>199</v>
      </c>
      <c r="X22" s="82" t="s">
        <v>198</v>
      </c>
    </row>
    <row r="23" spans="1:24" x14ac:dyDescent="0.25">
      <c r="A23" s="82" t="s">
        <v>33</v>
      </c>
      <c r="B23" s="82" t="s">
        <v>346</v>
      </c>
      <c r="C23" t="s">
        <v>67</v>
      </c>
      <c r="D23" s="82" t="s">
        <v>343</v>
      </c>
      <c r="E23" s="82" t="s">
        <v>8</v>
      </c>
      <c r="F23" s="82" t="s">
        <v>150</v>
      </c>
      <c r="G23" s="82" t="s">
        <v>153</v>
      </c>
      <c r="H23" t="s">
        <v>177</v>
      </c>
      <c r="I23" t="s">
        <v>352</v>
      </c>
      <c r="J23" s="82">
        <v>80</v>
      </c>
      <c r="K23" t="s">
        <v>66</v>
      </c>
      <c r="L23" t="s">
        <v>150</v>
      </c>
      <c r="M23">
        <v>4</v>
      </c>
      <c r="N23" t="s">
        <v>365</v>
      </c>
      <c r="O23" s="85">
        <v>7987</v>
      </c>
      <c r="P23" s="85">
        <f>MISUO[[#This Row],[الكمية]]*MISUO[[#This Row],[سعر البيع ]]</f>
        <v>31948</v>
      </c>
      <c r="Q23" s="85">
        <f>IF(MISUO[[#This Row],[الحالة]]="تم التسليم",MISUO[[#This Row],[إجمالي البيع]],IF(MISUO[[#This Row],[الحالة]]="مرتجع",-MISUO[[#This Row],[إجمالي البيع]],0))</f>
        <v>31948</v>
      </c>
      <c r="R23" s="88" t="s">
        <v>115</v>
      </c>
      <c r="S23" s="89">
        <v>45541</v>
      </c>
      <c r="T23" s="89">
        <v>45551</v>
      </c>
      <c r="U23" s="89">
        <v>45556</v>
      </c>
      <c r="V23" s="89" t="str">
        <f>IF(OR(MISUO[[#This Row],[الحالة]]="مرفوض",MISUO[[#This Row],[الحالة]]="مرتجع"),"لم يتم",
IF(MISUO[[#This Row],[تاريخ التسليم]]&lt;=MISUO[[#This Row],[ميعاد التسليم]],"في الموعد","متأخر"))</f>
        <v>متأخر</v>
      </c>
      <c r="W23" t="s">
        <v>199</v>
      </c>
      <c r="X23" s="82" t="s">
        <v>198</v>
      </c>
    </row>
    <row r="24" spans="1:24" x14ac:dyDescent="0.25">
      <c r="A24" s="82" t="s">
        <v>33</v>
      </c>
      <c r="B24" s="82" t="s">
        <v>346</v>
      </c>
      <c r="C24" t="s">
        <v>67</v>
      </c>
      <c r="D24" s="82" t="s">
        <v>343</v>
      </c>
      <c r="E24" s="82" t="s">
        <v>8</v>
      </c>
      <c r="F24" s="82" t="s">
        <v>150</v>
      </c>
      <c r="G24" s="82" t="s">
        <v>153</v>
      </c>
      <c r="H24" t="s">
        <v>177</v>
      </c>
      <c r="I24" t="s">
        <v>352</v>
      </c>
      <c r="J24" s="82">
        <v>80</v>
      </c>
      <c r="K24" t="s">
        <v>66</v>
      </c>
      <c r="L24" t="s">
        <v>150</v>
      </c>
      <c r="M24">
        <v>4</v>
      </c>
      <c r="N24" t="s">
        <v>365</v>
      </c>
      <c r="O24" s="85">
        <v>7987</v>
      </c>
      <c r="P24" s="85">
        <f>MISUO[[#This Row],[الكمية]]*MISUO[[#This Row],[سعر البيع ]]</f>
        <v>31948</v>
      </c>
      <c r="Q24" s="85">
        <f>IF(MISUO[[#This Row],[الحالة]]="تم التسليم",MISUO[[#This Row],[إجمالي البيع]],IF(MISUO[[#This Row],[الحالة]]="مرتجع",-MISUO[[#This Row],[إجمالي البيع]],0))</f>
        <v>31948</v>
      </c>
      <c r="R24" s="88" t="s">
        <v>115</v>
      </c>
      <c r="S24" s="89">
        <v>45541</v>
      </c>
      <c r="T24" s="89">
        <v>45551</v>
      </c>
      <c r="U24" s="89">
        <v>45556</v>
      </c>
      <c r="V24" s="89" t="str">
        <f>IF(OR(MISUO[[#This Row],[الحالة]]="مرفوض",MISUO[[#This Row],[الحالة]]="مرتجع"),"لم يتم",
IF(MISUO[[#This Row],[تاريخ التسليم]]&lt;=MISUO[[#This Row],[ميعاد التسليم]],"في الموعد","متأخر"))</f>
        <v>متأخر</v>
      </c>
      <c r="W24" t="s">
        <v>199</v>
      </c>
      <c r="X24" s="82" t="s">
        <v>198</v>
      </c>
    </row>
    <row r="25" spans="1:24" hidden="1" x14ac:dyDescent="0.25">
      <c r="A25" s="82" t="s">
        <v>106</v>
      </c>
      <c r="B25" s="82" t="s">
        <v>346</v>
      </c>
      <c r="C25" t="s">
        <v>107</v>
      </c>
      <c r="D25" s="82" t="s">
        <v>343</v>
      </c>
      <c r="E25" s="82" t="s">
        <v>8</v>
      </c>
      <c r="F25" s="82" t="s">
        <v>292</v>
      </c>
      <c r="G25" s="82" t="s">
        <v>187</v>
      </c>
      <c r="K25" t="s">
        <v>369</v>
      </c>
      <c r="L25" t="s">
        <v>358</v>
      </c>
      <c r="M25">
        <v>1</v>
      </c>
      <c r="N25" t="s">
        <v>370</v>
      </c>
      <c r="O25" s="85">
        <v>8849</v>
      </c>
      <c r="P25" s="85">
        <f>MISUO[[#This Row],[الكمية]]*MISUO[[#This Row],[سعر البيع ]]</f>
        <v>8849</v>
      </c>
      <c r="Q25" s="85">
        <f>IF(MISUO[[#This Row],[الحالة]]="تم التسليم",MISUO[[#This Row],[إجمالي البيع]],IF(MISUO[[#This Row],[الحالة]]="مرتجع",-MISUO[[#This Row],[إجمالي البيع]],0))</f>
        <v>0</v>
      </c>
      <c r="R25" s="82" t="s">
        <v>16</v>
      </c>
      <c r="S25" s="89">
        <v>45538</v>
      </c>
      <c r="T25" s="89">
        <v>45581</v>
      </c>
      <c r="V25" s="89" t="str">
        <f>IF(OR(MISUO[[#This Row],[الحالة]]="مرفوض",MISUO[[#This Row],[الحالة]]="مرتجع"),"لم يتم",
IF(MISUO[[#This Row],[تاريخ التسليم]]&lt;=MISUO[[#This Row],[ميعاد التسليم]],"في الموعد","متأخر"))</f>
        <v>لم يتم</v>
      </c>
      <c r="X25" s="82" t="s">
        <v>333</v>
      </c>
    </row>
    <row r="26" spans="1:24" x14ac:dyDescent="0.25">
      <c r="A26" s="82" t="s">
        <v>69</v>
      </c>
      <c r="B26" s="82" t="s">
        <v>346</v>
      </c>
      <c r="C26" t="s">
        <v>39</v>
      </c>
      <c r="D26" s="82" t="s">
        <v>339</v>
      </c>
      <c r="E26" s="82" t="s">
        <v>8</v>
      </c>
      <c r="F26" s="82" t="s">
        <v>150</v>
      </c>
      <c r="G26" s="82" t="s">
        <v>153</v>
      </c>
      <c r="H26" t="s">
        <v>156</v>
      </c>
      <c r="I26" t="s">
        <v>352</v>
      </c>
      <c r="J26" s="82">
        <v>120</v>
      </c>
      <c r="K26" t="s">
        <v>70</v>
      </c>
      <c r="L26" t="s">
        <v>150</v>
      </c>
      <c r="M26">
        <v>1</v>
      </c>
      <c r="N26" t="s">
        <v>375</v>
      </c>
      <c r="O26" s="85">
        <v>10987</v>
      </c>
      <c r="P26" s="85">
        <f>MISUO[[#This Row],[الكمية]]*MISUO[[#This Row],[سعر البيع ]]</f>
        <v>10987</v>
      </c>
      <c r="Q26" s="85">
        <f>IF(MISUO[[#This Row],[الحالة]]="تم التسليم",MISUO[[#This Row],[إجمالي البيع]],IF(MISUO[[#This Row],[الحالة]]="مرتجع",-MISUO[[#This Row],[إجمالي البيع]],0))</f>
        <v>10987</v>
      </c>
      <c r="R26" s="88" t="s">
        <v>115</v>
      </c>
      <c r="S26" s="89">
        <v>45544</v>
      </c>
      <c r="T26" s="89">
        <v>45552</v>
      </c>
      <c r="U26" s="89">
        <v>45556</v>
      </c>
      <c r="V26" s="89" t="str">
        <f>IF(OR(MISUO[[#This Row],[الحالة]]="مرفوض",MISUO[[#This Row],[الحالة]]="مرتجع"),"لم يتم",
IF(MISUO[[#This Row],[تاريخ التسليم]]&lt;=MISUO[[#This Row],[ميعاد التسليم]],"في الموعد","متأخر"))</f>
        <v>متأخر</v>
      </c>
      <c r="W26" t="s">
        <v>199</v>
      </c>
      <c r="X26" s="82" t="s">
        <v>198</v>
      </c>
    </row>
    <row r="27" spans="1:24" x14ac:dyDescent="0.25">
      <c r="A27" s="82" t="s">
        <v>31</v>
      </c>
      <c r="B27" s="82" t="s">
        <v>347</v>
      </c>
      <c r="D27" s="82"/>
      <c r="E27" s="82" t="s">
        <v>52</v>
      </c>
      <c r="F27" s="82" t="s">
        <v>150</v>
      </c>
      <c r="G27" s="82" t="s">
        <v>165</v>
      </c>
      <c r="H27" t="s">
        <v>154</v>
      </c>
      <c r="I27" t="s">
        <v>352</v>
      </c>
      <c r="J27" s="82">
        <v>100</v>
      </c>
      <c r="K27" t="s">
        <v>376</v>
      </c>
      <c r="L27" t="s">
        <v>150</v>
      </c>
      <c r="M27">
        <v>1</v>
      </c>
      <c r="N27" t="s">
        <v>154</v>
      </c>
      <c r="O27" s="85">
        <v>9208</v>
      </c>
      <c r="P27" s="85">
        <f>MISUO[[#This Row],[الكمية]]*MISUO[[#This Row],[سعر البيع ]]</f>
        <v>9208</v>
      </c>
      <c r="Q27" s="85">
        <f>IF(MISUO[[#This Row],[الحالة]]="تم التسليم",MISUO[[#This Row],[إجمالي البيع]],IF(MISUO[[#This Row],[الحالة]]="مرتجع",-MISUO[[#This Row],[إجمالي البيع]],0))</f>
        <v>9208</v>
      </c>
      <c r="R27" s="88" t="s">
        <v>336</v>
      </c>
      <c r="S27" s="89">
        <v>45536</v>
      </c>
      <c r="T27" s="89">
        <v>45554</v>
      </c>
      <c r="U27" s="89">
        <v>45556</v>
      </c>
      <c r="V27" s="89" t="str">
        <f>IF(OR(MISUO[[#This Row],[الحالة]]="مرفوض",MISUO[[#This Row],[الحالة]]="مرتجع"),"لم يتم",
IF(MISUO[[#This Row],[تاريخ التسليم]]&lt;=MISUO[[#This Row],[ميعاد التسليم]],"في الموعد","متأخر"))</f>
        <v>متأخر</v>
      </c>
      <c r="W27" t="s">
        <v>199</v>
      </c>
      <c r="X27" s="82" t="s">
        <v>198</v>
      </c>
    </row>
    <row r="28" spans="1:24" x14ac:dyDescent="0.25">
      <c r="A28" s="82" t="s">
        <v>31</v>
      </c>
      <c r="B28" s="82" t="s">
        <v>347</v>
      </c>
      <c r="D28" s="82"/>
      <c r="E28" s="82" t="s">
        <v>52</v>
      </c>
      <c r="F28" s="82" t="s">
        <v>150</v>
      </c>
      <c r="G28" s="82" t="s">
        <v>165</v>
      </c>
      <c r="H28" t="s">
        <v>154</v>
      </c>
      <c r="I28" t="s">
        <v>354</v>
      </c>
      <c r="J28" s="82">
        <v>100</v>
      </c>
      <c r="K28" t="s">
        <v>377</v>
      </c>
      <c r="L28" t="s">
        <v>150</v>
      </c>
      <c r="M28">
        <v>1</v>
      </c>
      <c r="N28" t="s">
        <v>154</v>
      </c>
      <c r="O28" s="85">
        <v>9208</v>
      </c>
      <c r="P28" s="85">
        <f>MISUO[[#This Row],[الكمية]]*MISUO[[#This Row],[سعر البيع ]]</f>
        <v>9208</v>
      </c>
      <c r="Q28" s="85">
        <f>IF(MISUO[[#This Row],[الحالة]]="تم التسليم",MISUO[[#This Row],[إجمالي البيع]],IF(MISUO[[#This Row],[الحالة]]="مرتجع",-MISUO[[#This Row],[إجمالي البيع]],0))</f>
        <v>9208</v>
      </c>
      <c r="R28" s="88" t="s">
        <v>336</v>
      </c>
      <c r="S28" s="89">
        <v>45536</v>
      </c>
      <c r="T28" s="89">
        <v>45554</v>
      </c>
      <c r="U28" s="89">
        <v>45556</v>
      </c>
      <c r="V28" s="89" t="str">
        <f>IF(OR(MISUO[[#This Row],[الحالة]]="مرفوض",MISUO[[#This Row],[الحالة]]="مرتجع"),"لم يتم",
IF(MISUO[[#This Row],[تاريخ التسليم]]&lt;=MISUO[[#This Row],[ميعاد التسليم]],"في الموعد","متأخر"))</f>
        <v>متأخر</v>
      </c>
      <c r="W28" t="s">
        <v>199</v>
      </c>
      <c r="X28" s="82" t="s">
        <v>198</v>
      </c>
    </row>
    <row r="29" spans="1:24" x14ac:dyDescent="0.25">
      <c r="A29" s="82" t="s">
        <v>83</v>
      </c>
      <c r="B29" s="82" t="s">
        <v>347</v>
      </c>
      <c r="C29" t="s">
        <v>84</v>
      </c>
      <c r="D29" s="82" t="s">
        <v>339</v>
      </c>
      <c r="E29" s="82" t="s">
        <v>56</v>
      </c>
      <c r="F29" s="82" t="s">
        <v>150</v>
      </c>
      <c r="G29" s="82" t="s">
        <v>153</v>
      </c>
      <c r="H29" t="s">
        <v>177</v>
      </c>
      <c r="I29" t="s">
        <v>352</v>
      </c>
      <c r="J29" s="82">
        <v>120</v>
      </c>
      <c r="K29" t="s">
        <v>378</v>
      </c>
      <c r="L29" t="s">
        <v>150</v>
      </c>
      <c r="M29">
        <v>2</v>
      </c>
      <c r="N29" t="s">
        <v>177</v>
      </c>
      <c r="O29" s="85">
        <v>4020</v>
      </c>
      <c r="P29" s="85">
        <f>MISUO[[#This Row],[الكمية]]*MISUO[[#This Row],[سعر البيع ]]</f>
        <v>8040</v>
      </c>
      <c r="Q29" s="85">
        <f>IF(MISUO[[#This Row],[الحالة]]="تم التسليم",MISUO[[#This Row],[إجمالي البيع]],IF(MISUO[[#This Row],[الحالة]]="مرتجع",-MISUO[[#This Row],[إجمالي البيع]],0))</f>
        <v>8040</v>
      </c>
      <c r="R29" s="88" t="s">
        <v>85</v>
      </c>
      <c r="S29" s="89">
        <v>45547</v>
      </c>
      <c r="T29" s="89">
        <v>45556</v>
      </c>
      <c r="U29" s="89">
        <v>45557</v>
      </c>
      <c r="V29" s="89" t="str">
        <f>IF(OR(MISUO[[#This Row],[الحالة]]="مرفوض",MISUO[[#This Row],[الحالة]]="مرتجع"),"لم يتم",
IF(MISUO[[#This Row],[تاريخ التسليم]]&lt;=MISUO[[#This Row],[ميعاد التسليم]],"في الموعد","متأخر"))</f>
        <v>متأخر</v>
      </c>
      <c r="W29" t="s">
        <v>199</v>
      </c>
      <c r="X29" s="82" t="s">
        <v>198</v>
      </c>
    </row>
    <row r="30" spans="1:24" x14ac:dyDescent="0.25">
      <c r="A30" s="82" t="s">
        <v>83</v>
      </c>
      <c r="B30" s="82" t="s">
        <v>347</v>
      </c>
      <c r="C30" t="s">
        <v>84</v>
      </c>
      <c r="D30" s="82" t="s">
        <v>339</v>
      </c>
      <c r="E30" s="82" t="s">
        <v>56</v>
      </c>
      <c r="F30" s="82" t="s">
        <v>150</v>
      </c>
      <c r="G30" s="82" t="s">
        <v>153</v>
      </c>
      <c r="H30" t="s">
        <v>177</v>
      </c>
      <c r="I30" t="s">
        <v>352</v>
      </c>
      <c r="J30" s="82">
        <v>120</v>
      </c>
      <c r="K30" t="s">
        <v>378</v>
      </c>
      <c r="L30" t="s">
        <v>150</v>
      </c>
      <c r="M30">
        <v>2</v>
      </c>
      <c r="N30" t="s">
        <v>177</v>
      </c>
      <c r="O30" s="85">
        <v>4020</v>
      </c>
      <c r="P30" s="85">
        <f>MISUO[[#This Row],[الكمية]]*MISUO[[#This Row],[سعر البيع ]]</f>
        <v>8040</v>
      </c>
      <c r="Q30" s="85">
        <f>IF(MISUO[[#This Row],[الحالة]]="تم التسليم",MISUO[[#This Row],[إجمالي البيع]],IF(MISUO[[#This Row],[الحالة]]="مرتجع",-MISUO[[#This Row],[إجمالي البيع]],0))</f>
        <v>8040</v>
      </c>
      <c r="R30" s="88" t="s">
        <v>85</v>
      </c>
      <c r="S30" s="89">
        <v>45547</v>
      </c>
      <c r="T30" s="89">
        <v>45556</v>
      </c>
      <c r="U30" s="89">
        <v>45557</v>
      </c>
      <c r="V30" s="89" t="str">
        <f>IF(OR(MISUO[[#This Row],[الحالة]]="مرفوض",MISUO[[#This Row],[الحالة]]="مرتجع"),"لم يتم",
IF(MISUO[[#This Row],[تاريخ التسليم]]&lt;=MISUO[[#This Row],[ميعاد التسليم]],"في الموعد","متأخر"))</f>
        <v>متأخر</v>
      </c>
      <c r="W30" t="s">
        <v>199</v>
      </c>
      <c r="X30" s="82" t="s">
        <v>198</v>
      </c>
    </row>
    <row r="31" spans="1:24" x14ac:dyDescent="0.25">
      <c r="A31" s="82" t="s">
        <v>83</v>
      </c>
      <c r="B31" s="82" t="s">
        <v>347</v>
      </c>
      <c r="C31" t="s">
        <v>84</v>
      </c>
      <c r="D31" s="82" t="s">
        <v>339</v>
      </c>
      <c r="E31" s="82" t="s">
        <v>56</v>
      </c>
      <c r="F31" s="82" t="s">
        <v>150</v>
      </c>
      <c r="G31" s="82" t="s">
        <v>153</v>
      </c>
      <c r="H31" t="s">
        <v>169</v>
      </c>
      <c r="I31" t="s">
        <v>354</v>
      </c>
      <c r="J31" s="82">
        <v>120</v>
      </c>
      <c r="K31" t="s">
        <v>379</v>
      </c>
      <c r="L31" t="s">
        <v>150</v>
      </c>
      <c r="M31">
        <v>2</v>
      </c>
      <c r="N31" t="s">
        <v>380</v>
      </c>
      <c r="O31" s="85">
        <v>4020</v>
      </c>
      <c r="P31" s="85">
        <f>MISUO[[#This Row],[الكمية]]*MISUO[[#This Row],[سعر البيع ]]</f>
        <v>8040</v>
      </c>
      <c r="Q31" s="85">
        <f>IF(MISUO[[#This Row],[الحالة]]="تم التسليم",MISUO[[#This Row],[إجمالي البيع]],IF(MISUO[[#This Row],[الحالة]]="مرتجع",-MISUO[[#This Row],[إجمالي البيع]],0))</f>
        <v>8040</v>
      </c>
      <c r="R31" s="88" t="s">
        <v>115</v>
      </c>
      <c r="S31" s="89">
        <v>45547</v>
      </c>
      <c r="T31" s="89">
        <v>45556</v>
      </c>
      <c r="U31" s="89">
        <v>45557</v>
      </c>
      <c r="V31" s="89" t="str">
        <f>IF(OR(MISUO[[#This Row],[الحالة]]="مرفوض",MISUO[[#This Row],[الحالة]]="مرتجع"),"لم يتم",
IF(MISUO[[#This Row],[تاريخ التسليم]]&lt;=MISUO[[#This Row],[ميعاد التسليم]],"في الموعد","متأخر"))</f>
        <v>متأخر</v>
      </c>
      <c r="W31" t="s">
        <v>199</v>
      </c>
      <c r="X31" s="82" t="s">
        <v>198</v>
      </c>
    </row>
    <row r="32" spans="1:24" x14ac:dyDescent="0.25">
      <c r="A32" s="82" t="s">
        <v>83</v>
      </c>
      <c r="B32" s="82" t="s">
        <v>347</v>
      </c>
      <c r="C32" t="s">
        <v>84</v>
      </c>
      <c r="D32" s="82" t="s">
        <v>339</v>
      </c>
      <c r="E32" s="82" t="s">
        <v>56</v>
      </c>
      <c r="F32" s="82" t="s">
        <v>150</v>
      </c>
      <c r="G32" s="82" t="s">
        <v>153</v>
      </c>
      <c r="H32" t="s">
        <v>169</v>
      </c>
      <c r="I32" t="s">
        <v>354</v>
      </c>
      <c r="J32" s="82">
        <v>120</v>
      </c>
      <c r="K32" t="s">
        <v>379</v>
      </c>
      <c r="L32" t="s">
        <v>150</v>
      </c>
      <c r="M32">
        <v>2</v>
      </c>
      <c r="N32" t="s">
        <v>380</v>
      </c>
      <c r="O32" s="85">
        <v>4020</v>
      </c>
      <c r="P32" s="85">
        <f>MISUO[[#This Row],[الكمية]]*MISUO[[#This Row],[سعر البيع ]]</f>
        <v>8040</v>
      </c>
      <c r="Q32" s="85">
        <f>IF(MISUO[[#This Row],[الحالة]]="تم التسليم",MISUO[[#This Row],[إجمالي البيع]],IF(MISUO[[#This Row],[الحالة]]="مرتجع",-MISUO[[#This Row],[إجمالي البيع]],0))</f>
        <v>8040</v>
      </c>
      <c r="R32" s="88" t="s">
        <v>115</v>
      </c>
      <c r="S32" s="89">
        <v>45547</v>
      </c>
      <c r="T32" s="89">
        <v>45556</v>
      </c>
      <c r="U32" s="89">
        <v>45557</v>
      </c>
      <c r="V32" s="89" t="str">
        <f>IF(OR(MISUO[[#This Row],[الحالة]]="مرفوض",MISUO[[#This Row],[الحالة]]="مرتجع"),"لم يتم",
IF(MISUO[[#This Row],[تاريخ التسليم]]&lt;=MISUO[[#This Row],[ميعاد التسليم]],"في الموعد","متأخر"))</f>
        <v>متأخر</v>
      </c>
      <c r="W32" t="s">
        <v>199</v>
      </c>
      <c r="X32" s="82" t="s">
        <v>198</v>
      </c>
    </row>
    <row r="33" spans="1:24" hidden="1" x14ac:dyDescent="0.25">
      <c r="A33" s="82" t="s">
        <v>143</v>
      </c>
      <c r="B33" s="82" t="s">
        <v>346</v>
      </c>
      <c r="C33" t="s">
        <v>144</v>
      </c>
      <c r="D33" s="82" t="s">
        <v>212</v>
      </c>
      <c r="E33" s="82" t="s">
        <v>8</v>
      </c>
      <c r="F33" s="82" t="s">
        <v>150</v>
      </c>
      <c r="G33" s="82" t="s">
        <v>151</v>
      </c>
      <c r="I33" t="s">
        <v>354</v>
      </c>
      <c r="K33" t="s">
        <v>353</v>
      </c>
      <c r="L33" t="s">
        <v>150</v>
      </c>
      <c r="M33">
        <v>1</v>
      </c>
      <c r="N33" t="s">
        <v>151</v>
      </c>
      <c r="O33" s="85">
        <v>9399</v>
      </c>
      <c r="P33" s="85">
        <f>MISUO[[#This Row],[الكمية]]*MISUO[[#This Row],[سعر البيع ]]</f>
        <v>9399</v>
      </c>
      <c r="Q33" s="85">
        <f>IF(MISUO[[#This Row],[الحالة]]="تم التسليم",MISUO[[#This Row],[إجمالي البيع]],IF(MISUO[[#This Row],[الحالة]]="مرتجع",-MISUO[[#This Row],[إجمالي البيع]],0))</f>
        <v>0</v>
      </c>
      <c r="R33" s="88" t="s">
        <v>115</v>
      </c>
      <c r="S33" s="89">
        <v>45549</v>
      </c>
      <c r="T33" s="89">
        <v>45557</v>
      </c>
      <c r="V33" s="89" t="str">
        <f>IF(OR(MISUO[[#This Row],[الحالة]]="مرفوض",MISUO[[#This Row],[الحالة]]="مرتجع"),"لم يتم",
IF(MISUO[[#This Row],[تاريخ التسليم]]&lt;=MISUO[[#This Row],[ميعاد التسليم]],"في الموعد","متأخر"))</f>
        <v>لم يتم</v>
      </c>
      <c r="X33" s="82" t="s">
        <v>333</v>
      </c>
    </row>
    <row r="34" spans="1:24" x14ac:dyDescent="0.25">
      <c r="A34" s="82" t="s">
        <v>147</v>
      </c>
      <c r="B34" s="82" t="s">
        <v>346</v>
      </c>
      <c r="C34" t="s">
        <v>148</v>
      </c>
      <c r="D34" s="82" t="s">
        <v>340</v>
      </c>
      <c r="E34" s="82" t="s">
        <v>8</v>
      </c>
      <c r="F34" s="82" t="s">
        <v>292</v>
      </c>
      <c r="G34" s="82" t="s">
        <v>189</v>
      </c>
      <c r="K34" t="s">
        <v>381</v>
      </c>
      <c r="L34" t="s">
        <v>358</v>
      </c>
      <c r="M34">
        <v>1</v>
      </c>
      <c r="N34" t="s">
        <v>370</v>
      </c>
      <c r="O34" s="85">
        <v>8349</v>
      </c>
      <c r="P34" s="85">
        <f>MISUO[[#This Row],[الكمية]]*MISUO[[#This Row],[سعر البيع ]]</f>
        <v>8349</v>
      </c>
      <c r="Q34" s="85">
        <f>IF(MISUO[[#This Row],[الحالة]]="تم التسليم",MISUO[[#This Row],[إجمالي البيع]],IF(MISUO[[#This Row],[الحالة]]="مرتجع",-MISUO[[#This Row],[إجمالي البيع]],0))</f>
        <v>8349</v>
      </c>
      <c r="R34" s="82" t="s">
        <v>115</v>
      </c>
      <c r="S34" s="89">
        <v>45549</v>
      </c>
      <c r="T34" s="89">
        <v>45557</v>
      </c>
      <c r="U34" s="89">
        <v>45559</v>
      </c>
      <c r="V34" s="89" t="str">
        <f>IF(OR(MISUO[[#This Row],[الحالة]]="مرفوض",MISUO[[#This Row],[الحالة]]="مرتجع"),"لم يتم",
IF(MISUO[[#This Row],[تاريخ التسليم]]&lt;=MISUO[[#This Row],[ميعاد التسليم]],"في الموعد","متأخر"))</f>
        <v>متأخر</v>
      </c>
      <c r="W34" t="s">
        <v>28</v>
      </c>
      <c r="X34" s="82" t="s">
        <v>198</v>
      </c>
    </row>
    <row r="35" spans="1:24" x14ac:dyDescent="0.25">
      <c r="A35" s="82" t="s">
        <v>104</v>
      </c>
      <c r="B35" s="82" t="s">
        <v>346</v>
      </c>
      <c r="C35" t="s">
        <v>39</v>
      </c>
      <c r="D35" s="82" t="s">
        <v>339</v>
      </c>
      <c r="E35" s="82" t="s">
        <v>8</v>
      </c>
      <c r="F35" s="82" t="s">
        <v>150</v>
      </c>
      <c r="G35" s="82" t="s">
        <v>151</v>
      </c>
      <c r="I35" t="s">
        <v>354</v>
      </c>
      <c r="K35" t="s">
        <v>382</v>
      </c>
      <c r="L35" t="s">
        <v>150</v>
      </c>
      <c r="M35">
        <v>1</v>
      </c>
      <c r="N35" t="s">
        <v>151</v>
      </c>
      <c r="O35" s="85">
        <v>9399</v>
      </c>
      <c r="P35" s="85">
        <f>MISUO[[#This Row],[الكمية]]*MISUO[[#This Row],[سعر البيع ]]</f>
        <v>9399</v>
      </c>
      <c r="Q35" s="85">
        <f>IF(MISUO[[#This Row],[الحالة]]="تم التسليم",MISUO[[#This Row],[إجمالي البيع]],IF(MISUO[[#This Row],[الحالة]]="مرتجع",-MISUO[[#This Row],[إجمالي البيع]],0))</f>
        <v>9399</v>
      </c>
      <c r="R35" s="88" t="s">
        <v>115</v>
      </c>
      <c r="S35" s="89">
        <v>45548</v>
      </c>
      <c r="T35" s="89">
        <v>45559</v>
      </c>
      <c r="U35" s="89">
        <v>45564</v>
      </c>
      <c r="V35" s="89" t="str">
        <f>IF(OR(MISUO[[#This Row],[الحالة]]="مرفوض",MISUO[[#This Row],[الحالة]]="مرتجع"),"لم يتم",
IF(MISUO[[#This Row],[تاريخ التسليم]]&lt;=MISUO[[#This Row],[ميعاد التسليم]],"في الموعد","متأخر"))</f>
        <v>متأخر</v>
      </c>
      <c r="W35" t="s">
        <v>28</v>
      </c>
      <c r="X35" s="82" t="s">
        <v>198</v>
      </c>
    </row>
    <row r="36" spans="1:24" x14ac:dyDescent="0.25">
      <c r="A36" s="82" t="s">
        <v>71</v>
      </c>
      <c r="B36" s="82" t="s">
        <v>346</v>
      </c>
      <c r="C36" t="s">
        <v>72</v>
      </c>
      <c r="D36" s="82" t="s">
        <v>343</v>
      </c>
      <c r="E36" s="82" t="s">
        <v>8</v>
      </c>
      <c r="F36" s="82" t="s">
        <v>292</v>
      </c>
      <c r="G36" s="82" t="s">
        <v>187</v>
      </c>
      <c r="K36" t="s">
        <v>369</v>
      </c>
      <c r="L36" t="s">
        <v>358</v>
      </c>
      <c r="M36">
        <v>1</v>
      </c>
      <c r="N36" t="s">
        <v>370</v>
      </c>
      <c r="O36" s="85">
        <v>7849</v>
      </c>
      <c r="P36" s="85">
        <f>MISUO[[#This Row],[الكمية]]*MISUO[[#This Row],[سعر البيع ]]</f>
        <v>7849</v>
      </c>
      <c r="Q36" s="85">
        <f>IF(MISUO[[#This Row],[الحالة]]="تم التسليم",MISUO[[#This Row],[إجمالي البيع]],IF(MISUO[[#This Row],[الحالة]]="مرتجع",-MISUO[[#This Row],[إجمالي البيع]],0))</f>
        <v>7849</v>
      </c>
      <c r="R36" s="88" t="s">
        <v>336</v>
      </c>
      <c r="S36" s="89">
        <v>45547</v>
      </c>
      <c r="T36" s="89">
        <v>45561</v>
      </c>
      <c r="V36" s="89" t="str">
        <f>IF(OR(MISUO[[#This Row],[الحالة]]="مرفوض",MISUO[[#This Row],[الحالة]]="مرتجع"),"لم يتم",
IF(MISUO[[#This Row],[تاريخ التسليم]]&lt;=MISUO[[#This Row],[ميعاد التسليم]],"في الموعد","متأخر"))</f>
        <v>في الموعد</v>
      </c>
      <c r="W36" t="s">
        <v>28</v>
      </c>
      <c r="X36" s="82" t="s">
        <v>198</v>
      </c>
    </row>
    <row r="37" spans="1:24" hidden="1" x14ac:dyDescent="0.25">
      <c r="A37" s="82" t="s">
        <v>79</v>
      </c>
      <c r="B37" s="82" t="s">
        <v>346</v>
      </c>
      <c r="C37" t="s">
        <v>80</v>
      </c>
      <c r="D37" s="82" t="s">
        <v>339</v>
      </c>
      <c r="E37" s="82" t="s">
        <v>35</v>
      </c>
      <c r="F37" s="82" t="s">
        <v>150</v>
      </c>
      <c r="G37" s="82" t="s">
        <v>171</v>
      </c>
      <c r="H37" t="s">
        <v>154</v>
      </c>
      <c r="I37" t="s">
        <v>354</v>
      </c>
      <c r="J37" s="82">
        <v>100</v>
      </c>
      <c r="K37" t="s">
        <v>383</v>
      </c>
      <c r="L37" t="s">
        <v>150</v>
      </c>
      <c r="M37">
        <v>1</v>
      </c>
      <c r="N37" t="s">
        <v>384</v>
      </c>
      <c r="O37" s="85">
        <v>9450</v>
      </c>
      <c r="P37" s="85">
        <f>MISUO[[#This Row],[الكمية]]*MISUO[[#This Row],[سعر البيع ]]</f>
        <v>9450</v>
      </c>
      <c r="Q37" s="85">
        <f>IF(MISUO[[#This Row],[الحالة]]="تم التسليم",MISUO[[#This Row],[إجمالي البيع]],IF(MISUO[[#This Row],[الحالة]]="مرتجع",-MISUO[[#This Row],[إجمالي البيع]],0))</f>
        <v>0</v>
      </c>
      <c r="R37" s="88" t="s">
        <v>336</v>
      </c>
      <c r="S37" s="89">
        <v>45547</v>
      </c>
      <c r="T37" s="89">
        <v>45561</v>
      </c>
      <c r="V37" s="89" t="str">
        <f>IF(OR(MISUO[[#This Row],[الحالة]]="مرفوض",MISUO[[#This Row],[الحالة]]="مرتجع"),"لم يتم",
IF(MISUO[[#This Row],[تاريخ التسليم]]&lt;=MISUO[[#This Row],[ميعاد التسليم]],"في الموعد","متأخر"))</f>
        <v>لم يتم</v>
      </c>
      <c r="X37" s="82" t="s">
        <v>333</v>
      </c>
    </row>
    <row r="38" spans="1:24" x14ac:dyDescent="0.25">
      <c r="A38" s="82" t="s">
        <v>95</v>
      </c>
      <c r="B38" s="82" t="s">
        <v>346</v>
      </c>
      <c r="C38" t="s">
        <v>67</v>
      </c>
      <c r="D38" s="82" t="s">
        <v>343</v>
      </c>
      <c r="E38" s="82" t="s">
        <v>8</v>
      </c>
      <c r="F38" s="82" t="s">
        <v>150</v>
      </c>
      <c r="G38" s="82" t="s">
        <v>153</v>
      </c>
      <c r="H38" t="s">
        <v>156</v>
      </c>
      <c r="I38" t="s">
        <v>354</v>
      </c>
      <c r="J38" s="82">
        <v>120</v>
      </c>
      <c r="K38" t="s">
        <v>96</v>
      </c>
      <c r="L38" t="s">
        <v>150</v>
      </c>
      <c r="M38">
        <v>1</v>
      </c>
      <c r="N38" t="s">
        <v>375</v>
      </c>
      <c r="O38" s="85">
        <v>7460</v>
      </c>
      <c r="P38" s="85">
        <f>MISUO[[#This Row],[الكمية]]*MISUO[[#This Row],[سعر البيع ]]</f>
        <v>7460</v>
      </c>
      <c r="Q38" s="85">
        <f>IF(MISUO[[#This Row],[الحالة]]="تم التسليم",MISUO[[#This Row],[إجمالي البيع]],IF(MISUO[[#This Row],[الحالة]]="مرتجع",-MISUO[[#This Row],[إجمالي البيع]],0))</f>
        <v>7460</v>
      </c>
      <c r="R38" s="88" t="s">
        <v>115</v>
      </c>
      <c r="S38" s="89">
        <v>45548</v>
      </c>
      <c r="T38" s="89">
        <v>45561</v>
      </c>
      <c r="U38" s="89">
        <v>45568</v>
      </c>
      <c r="V38" s="89" t="str">
        <f>IF(OR(MISUO[[#This Row],[الحالة]]="مرفوض",MISUO[[#This Row],[الحالة]]="مرتجع"),"لم يتم",
IF(MISUO[[#This Row],[تاريخ التسليم]]&lt;=MISUO[[#This Row],[ميعاد التسليم]],"في الموعد","متأخر"))</f>
        <v>متأخر</v>
      </c>
      <c r="W38" t="s">
        <v>199</v>
      </c>
      <c r="X38" s="82" t="s">
        <v>198</v>
      </c>
    </row>
    <row r="39" spans="1:24" x14ac:dyDescent="0.25">
      <c r="A39" s="82" t="s">
        <v>99</v>
      </c>
      <c r="B39" s="82" t="s">
        <v>346</v>
      </c>
      <c r="C39" t="s">
        <v>67</v>
      </c>
      <c r="D39" s="82" t="s">
        <v>343</v>
      </c>
      <c r="E39" s="82" t="s">
        <v>8</v>
      </c>
      <c r="F39" s="82" t="s">
        <v>150</v>
      </c>
      <c r="G39" s="82" t="s">
        <v>153</v>
      </c>
      <c r="H39" t="s">
        <v>283</v>
      </c>
      <c r="I39" t="s">
        <v>387</v>
      </c>
      <c r="J39" s="82">
        <v>140</v>
      </c>
      <c r="K39" t="s">
        <v>385</v>
      </c>
      <c r="L39" t="s">
        <v>150</v>
      </c>
      <c r="M39">
        <v>1</v>
      </c>
      <c r="N39" t="s">
        <v>386</v>
      </c>
      <c r="O39" s="85">
        <v>9528</v>
      </c>
      <c r="P39" s="85">
        <f>MISUO[[#This Row],[الكمية]]*MISUO[[#This Row],[سعر البيع ]]</f>
        <v>9528</v>
      </c>
      <c r="Q39" s="85">
        <f>IF(MISUO[[#This Row],[الحالة]]="تم التسليم",MISUO[[#This Row],[إجمالي البيع]],IF(MISUO[[#This Row],[الحالة]]="مرتجع",-MISUO[[#This Row],[إجمالي البيع]],0))</f>
        <v>9528</v>
      </c>
      <c r="R39" s="88" t="s">
        <v>115</v>
      </c>
      <c r="S39" s="89">
        <v>45548</v>
      </c>
      <c r="T39" s="89">
        <v>45561</v>
      </c>
      <c r="U39" s="89">
        <v>45568</v>
      </c>
      <c r="V39" s="89" t="str">
        <f>IF(OR(MISUO[[#This Row],[الحالة]]="مرفوض",MISUO[[#This Row],[الحالة]]="مرتجع"),"لم يتم",
IF(MISUO[[#This Row],[تاريخ التسليم]]&lt;=MISUO[[#This Row],[ميعاد التسليم]],"في الموعد","متأخر"))</f>
        <v>متأخر</v>
      </c>
      <c r="W39" t="s">
        <v>199</v>
      </c>
      <c r="X39" s="82" t="s">
        <v>198</v>
      </c>
    </row>
    <row r="40" spans="1:24" x14ac:dyDescent="0.25">
      <c r="A40" s="82" t="s">
        <v>141</v>
      </c>
      <c r="B40" s="82" t="s">
        <v>346</v>
      </c>
      <c r="C40" t="s">
        <v>39</v>
      </c>
      <c r="D40" s="82" t="s">
        <v>339</v>
      </c>
      <c r="E40" s="82" t="s">
        <v>8</v>
      </c>
      <c r="F40" s="82" t="s">
        <v>150</v>
      </c>
      <c r="G40" s="82" t="s">
        <v>165</v>
      </c>
      <c r="H40" t="s">
        <v>154</v>
      </c>
      <c r="I40" t="s">
        <v>361</v>
      </c>
      <c r="J40" s="82">
        <v>120</v>
      </c>
      <c r="K40" t="s">
        <v>388</v>
      </c>
      <c r="L40" t="s">
        <v>150</v>
      </c>
      <c r="M40">
        <v>1</v>
      </c>
      <c r="N40" t="s">
        <v>155</v>
      </c>
      <c r="O40" s="85">
        <v>12999</v>
      </c>
      <c r="P40" s="85">
        <f>MISUO[[#This Row],[الكمية]]*MISUO[[#This Row],[سعر البيع ]]</f>
        <v>12999</v>
      </c>
      <c r="Q40" s="85">
        <f>IF(MISUO[[#This Row],[الحالة]]="تم التسليم",MISUO[[#This Row],[إجمالي البيع]],IF(MISUO[[#This Row],[الحالة]]="مرتجع",-MISUO[[#This Row],[إجمالي البيع]],0))</f>
        <v>12999</v>
      </c>
      <c r="R40" s="88" t="s">
        <v>115</v>
      </c>
      <c r="S40" s="89">
        <v>45549</v>
      </c>
      <c r="T40" s="89">
        <v>45562</v>
      </c>
      <c r="U40" s="89">
        <v>45567</v>
      </c>
      <c r="V40" s="89" t="str">
        <f>IF(OR(MISUO[[#This Row],[الحالة]]="مرفوض",MISUO[[#This Row],[الحالة]]="مرتجع"),"لم يتم",
IF(MISUO[[#This Row],[تاريخ التسليم]]&lt;=MISUO[[#This Row],[ميعاد التسليم]],"في الموعد","متأخر"))</f>
        <v>متأخر</v>
      </c>
      <c r="W40" t="s">
        <v>199</v>
      </c>
      <c r="X40" s="82" t="s">
        <v>198</v>
      </c>
    </row>
    <row r="41" spans="1:24" hidden="1" x14ac:dyDescent="0.25">
      <c r="A41" s="82" t="s">
        <v>73</v>
      </c>
      <c r="B41" s="82" t="s">
        <v>346</v>
      </c>
      <c r="C41" t="s">
        <v>74</v>
      </c>
      <c r="D41" s="82" t="s">
        <v>343</v>
      </c>
      <c r="E41" s="82" t="s">
        <v>8</v>
      </c>
      <c r="F41" s="82" t="s">
        <v>150</v>
      </c>
      <c r="G41" s="82" t="s">
        <v>165</v>
      </c>
      <c r="H41" t="s">
        <v>152</v>
      </c>
      <c r="I41" t="s">
        <v>354</v>
      </c>
      <c r="J41" s="82">
        <v>90</v>
      </c>
      <c r="K41" t="s">
        <v>389</v>
      </c>
      <c r="L41" t="s">
        <v>150</v>
      </c>
      <c r="M41">
        <v>1</v>
      </c>
      <c r="N41" t="s">
        <v>152</v>
      </c>
      <c r="O41" s="85">
        <v>5999</v>
      </c>
      <c r="P41" s="85">
        <f>MISUO[[#This Row],[الكمية]]*MISUO[[#This Row],[سعر البيع ]]</f>
        <v>5999</v>
      </c>
      <c r="Q41" s="85">
        <f>IF(MISUO[[#This Row],[الحالة]]="تم التسليم",MISUO[[#This Row],[إجمالي البيع]],IF(MISUO[[#This Row],[الحالة]]="مرتجع",-MISUO[[#This Row],[إجمالي البيع]],0))</f>
        <v>0</v>
      </c>
      <c r="R41" s="88" t="s">
        <v>115</v>
      </c>
      <c r="S41" s="89">
        <v>45547</v>
      </c>
      <c r="T41" s="89">
        <v>45564</v>
      </c>
      <c r="V41" s="89" t="str">
        <f>IF(OR(MISUO[[#This Row],[الحالة]]="مرفوض",MISUO[[#This Row],[الحالة]]="مرتجع"),"لم يتم",
IF(MISUO[[#This Row],[تاريخ التسليم]]&lt;=MISUO[[#This Row],[ميعاد التسليم]],"في الموعد","متأخر"))</f>
        <v>لم يتم</v>
      </c>
      <c r="X41" s="82" t="s">
        <v>333</v>
      </c>
    </row>
    <row r="42" spans="1:24" x14ac:dyDescent="0.25">
      <c r="A42" s="82" t="s">
        <v>75</v>
      </c>
      <c r="B42" s="82" t="s">
        <v>346</v>
      </c>
      <c r="C42" t="s">
        <v>76</v>
      </c>
      <c r="D42" s="82" t="s">
        <v>339</v>
      </c>
      <c r="E42" s="82" t="s">
        <v>8</v>
      </c>
      <c r="F42" s="82" t="s">
        <v>150</v>
      </c>
      <c r="G42" s="82" t="s">
        <v>165</v>
      </c>
      <c r="H42" t="s">
        <v>154</v>
      </c>
      <c r="I42" t="s">
        <v>354</v>
      </c>
      <c r="J42" s="82">
        <v>100</v>
      </c>
      <c r="K42" t="s">
        <v>390</v>
      </c>
      <c r="L42" t="s">
        <v>150</v>
      </c>
      <c r="M42">
        <v>2</v>
      </c>
      <c r="N42" t="s">
        <v>155</v>
      </c>
      <c r="O42" s="85">
        <v>11949</v>
      </c>
      <c r="P42" s="85">
        <f>MISUO[[#This Row],[الكمية]]*MISUO[[#This Row],[سعر البيع ]]</f>
        <v>23898</v>
      </c>
      <c r="Q42" s="85">
        <f>IF(MISUO[[#This Row],[الحالة]]="تم التسليم",MISUO[[#This Row],[إجمالي البيع]],IF(MISUO[[#This Row],[الحالة]]="مرتجع",-MISUO[[#This Row],[إجمالي البيع]],0))</f>
        <v>23898</v>
      </c>
      <c r="R42" s="88" t="s">
        <v>336</v>
      </c>
      <c r="S42" s="89">
        <v>45547</v>
      </c>
      <c r="T42" s="89">
        <v>45564</v>
      </c>
      <c r="U42" s="89">
        <v>45567</v>
      </c>
      <c r="V42" s="89" t="str">
        <f>IF(OR(MISUO[[#This Row],[الحالة]]="مرفوض",MISUO[[#This Row],[الحالة]]="مرتجع"),"لم يتم",
IF(MISUO[[#This Row],[تاريخ التسليم]]&lt;=MISUO[[#This Row],[ميعاد التسليم]],"في الموعد","متأخر"))</f>
        <v>متأخر</v>
      </c>
      <c r="W42" t="s">
        <v>199</v>
      </c>
      <c r="X42" s="82" t="s">
        <v>198</v>
      </c>
    </row>
    <row r="43" spans="1:24" x14ac:dyDescent="0.25">
      <c r="A43" s="82" t="s">
        <v>75</v>
      </c>
      <c r="B43" s="82" t="s">
        <v>346</v>
      </c>
      <c r="C43" t="s">
        <v>76</v>
      </c>
      <c r="D43" s="82" t="s">
        <v>339</v>
      </c>
      <c r="E43" s="82" t="s">
        <v>8</v>
      </c>
      <c r="F43" s="82" t="s">
        <v>150</v>
      </c>
      <c r="G43" s="82" t="s">
        <v>165</v>
      </c>
      <c r="H43" t="s">
        <v>154</v>
      </c>
      <c r="I43" t="s">
        <v>354</v>
      </c>
      <c r="J43" s="82">
        <v>100</v>
      </c>
      <c r="K43" t="s">
        <v>390</v>
      </c>
      <c r="L43" t="s">
        <v>150</v>
      </c>
      <c r="M43">
        <v>2</v>
      </c>
      <c r="N43" t="s">
        <v>155</v>
      </c>
      <c r="O43" s="85">
        <v>11949</v>
      </c>
      <c r="P43" s="85">
        <f>MISUO[[#This Row],[الكمية]]*MISUO[[#This Row],[سعر البيع ]]</f>
        <v>23898</v>
      </c>
      <c r="Q43" s="85">
        <f>IF(MISUO[[#This Row],[الحالة]]="تم التسليم",MISUO[[#This Row],[إجمالي البيع]],IF(MISUO[[#This Row],[الحالة]]="مرتجع",-MISUO[[#This Row],[إجمالي البيع]],0))</f>
        <v>23898</v>
      </c>
      <c r="R43" s="88" t="s">
        <v>336</v>
      </c>
      <c r="S43" s="89">
        <v>45547</v>
      </c>
      <c r="T43" s="89">
        <v>45564</v>
      </c>
      <c r="U43" s="89">
        <v>45567</v>
      </c>
      <c r="V43" s="89" t="str">
        <f>IF(OR(MISUO[[#This Row],[الحالة]]="مرفوض",MISUO[[#This Row],[الحالة]]="مرتجع"),"لم يتم",
IF(MISUO[[#This Row],[تاريخ التسليم]]&lt;=MISUO[[#This Row],[ميعاد التسليم]],"في الموعد","متأخر"))</f>
        <v>متأخر</v>
      </c>
      <c r="W43" t="s">
        <v>199</v>
      </c>
      <c r="X43" s="82" t="s">
        <v>198</v>
      </c>
    </row>
    <row r="44" spans="1:24" x14ac:dyDescent="0.25">
      <c r="A44" s="82" t="s">
        <v>33</v>
      </c>
      <c r="B44" s="82" t="s">
        <v>346</v>
      </c>
      <c r="C44" t="s">
        <v>88</v>
      </c>
      <c r="D44" s="82" t="s">
        <v>343</v>
      </c>
      <c r="E44" s="82" t="s">
        <v>8</v>
      </c>
      <c r="F44" s="82" t="s">
        <v>150</v>
      </c>
      <c r="G44" s="82" t="s">
        <v>171</v>
      </c>
      <c r="H44" t="s">
        <v>154</v>
      </c>
      <c r="I44" t="s">
        <v>352</v>
      </c>
      <c r="J44" s="82">
        <v>80</v>
      </c>
      <c r="K44" t="s">
        <v>391</v>
      </c>
      <c r="L44" t="s">
        <v>150</v>
      </c>
      <c r="M44">
        <v>1</v>
      </c>
      <c r="N44" t="s">
        <v>384</v>
      </c>
      <c r="O44" s="85">
        <v>16599</v>
      </c>
      <c r="P44" s="85">
        <f>MISUO[[#This Row],[الكمية]]*MISUO[[#This Row],[سعر البيع ]]</f>
        <v>16599</v>
      </c>
      <c r="Q44" s="85">
        <f>IF(MISUO[[#This Row],[الحالة]]="تم التسليم",MISUO[[#This Row],[إجمالي البيع]],IF(MISUO[[#This Row],[الحالة]]="مرتجع",-MISUO[[#This Row],[إجمالي البيع]],0))</f>
        <v>16599</v>
      </c>
      <c r="R44" s="88" t="s">
        <v>115</v>
      </c>
      <c r="S44" s="89">
        <v>45548</v>
      </c>
      <c r="T44" s="89">
        <v>45565</v>
      </c>
      <c r="U44" s="89">
        <v>45568</v>
      </c>
      <c r="V44" s="89" t="str">
        <f>IF(OR(MISUO[[#This Row],[الحالة]]="مرفوض",MISUO[[#This Row],[الحالة]]="مرتجع"),"لم يتم",
IF(MISUO[[#This Row],[تاريخ التسليم]]&lt;=MISUO[[#This Row],[ميعاد التسليم]],"في الموعد","متأخر"))</f>
        <v>متأخر</v>
      </c>
      <c r="W44" t="s">
        <v>199</v>
      </c>
      <c r="X44" s="82" t="s">
        <v>198</v>
      </c>
    </row>
    <row r="45" spans="1:24" x14ac:dyDescent="0.25">
      <c r="A45" s="82" t="s">
        <v>89</v>
      </c>
      <c r="B45" s="82" t="s">
        <v>346</v>
      </c>
      <c r="C45" t="s">
        <v>26</v>
      </c>
      <c r="D45" s="82" t="s">
        <v>342</v>
      </c>
      <c r="E45" s="82" t="s">
        <v>8</v>
      </c>
      <c r="F45" s="82" t="s">
        <v>150</v>
      </c>
      <c r="G45" s="82" t="s">
        <v>165</v>
      </c>
      <c r="H45" t="s">
        <v>154</v>
      </c>
      <c r="I45" t="s">
        <v>352</v>
      </c>
      <c r="J45" s="82">
        <v>80</v>
      </c>
      <c r="K45" t="s">
        <v>392</v>
      </c>
      <c r="L45" t="s">
        <v>150</v>
      </c>
      <c r="M45">
        <v>1</v>
      </c>
      <c r="N45" t="s">
        <v>155</v>
      </c>
      <c r="O45" s="85">
        <v>10999</v>
      </c>
      <c r="P45" s="85">
        <f>MISUO[[#This Row],[الكمية]]*MISUO[[#This Row],[سعر البيع ]]</f>
        <v>10999</v>
      </c>
      <c r="Q45" s="85">
        <f>IF(MISUO[[#This Row],[الحالة]]="تم التسليم",MISUO[[#This Row],[إجمالي البيع]],IF(MISUO[[#This Row],[الحالة]]="مرتجع",-MISUO[[#This Row],[إجمالي البيع]],0))</f>
        <v>10999</v>
      </c>
      <c r="R45" s="88" t="s">
        <v>115</v>
      </c>
      <c r="S45" s="89">
        <v>45548</v>
      </c>
      <c r="T45" s="89">
        <v>45565</v>
      </c>
      <c r="U45" s="89">
        <v>45581</v>
      </c>
      <c r="V45" s="89" t="str">
        <f>IF(OR(MISUO[[#This Row],[الحالة]]="مرفوض",MISUO[[#This Row],[الحالة]]="مرتجع"),"لم يتم",
IF(MISUO[[#This Row],[تاريخ التسليم]]&lt;=MISUO[[#This Row],[ميعاد التسليم]],"في الموعد","متأخر"))</f>
        <v>متأخر</v>
      </c>
      <c r="W45" t="s">
        <v>28</v>
      </c>
      <c r="X45" s="82" t="s">
        <v>198</v>
      </c>
    </row>
    <row r="46" spans="1:24" x14ac:dyDescent="0.25">
      <c r="A46" s="82" t="s">
        <v>92</v>
      </c>
      <c r="B46" s="82" t="s">
        <v>346</v>
      </c>
      <c r="C46" t="s">
        <v>93</v>
      </c>
      <c r="D46" s="82" t="s">
        <v>212</v>
      </c>
      <c r="E46" s="82" t="s">
        <v>8</v>
      </c>
      <c r="F46" s="82" t="s">
        <v>150</v>
      </c>
      <c r="G46" s="82" t="s">
        <v>165</v>
      </c>
      <c r="H46" t="s">
        <v>154</v>
      </c>
      <c r="I46" t="s">
        <v>356</v>
      </c>
      <c r="J46" s="82">
        <v>140</v>
      </c>
      <c r="K46" t="s">
        <v>94</v>
      </c>
      <c r="L46" t="s">
        <v>150</v>
      </c>
      <c r="M46">
        <v>1</v>
      </c>
      <c r="N46" t="s">
        <v>393</v>
      </c>
      <c r="O46" s="85">
        <v>13099</v>
      </c>
      <c r="P46" s="85">
        <f>MISUO[[#This Row],[الكمية]]*MISUO[[#This Row],[سعر البيع ]]</f>
        <v>13099</v>
      </c>
      <c r="Q46" s="85">
        <f>IF(MISUO[[#This Row],[الحالة]]="تم التسليم",MISUO[[#This Row],[إجمالي البيع]],IF(MISUO[[#This Row],[الحالة]]="مرتجع",-MISUO[[#This Row],[إجمالي البيع]],0))</f>
        <v>13099</v>
      </c>
      <c r="R46" s="88" t="s">
        <v>115</v>
      </c>
      <c r="S46" s="89">
        <v>45548</v>
      </c>
      <c r="T46" s="89">
        <v>45565</v>
      </c>
      <c r="U46" s="89">
        <v>45568</v>
      </c>
      <c r="V46" s="89" t="str">
        <f>IF(OR(MISUO[[#This Row],[الحالة]]="مرفوض",MISUO[[#This Row],[الحالة]]="مرتجع"),"لم يتم",
IF(MISUO[[#This Row],[تاريخ التسليم]]&lt;=MISUO[[#This Row],[ميعاد التسليم]],"في الموعد","متأخر"))</f>
        <v>متأخر</v>
      </c>
      <c r="W46" t="s">
        <v>28</v>
      </c>
      <c r="X46" s="82" t="s">
        <v>198</v>
      </c>
    </row>
    <row r="47" spans="1:24" x14ac:dyDescent="0.25">
      <c r="A47" s="82" t="s">
        <v>97</v>
      </c>
      <c r="B47" s="82" t="s">
        <v>346</v>
      </c>
      <c r="C47" t="s">
        <v>39</v>
      </c>
      <c r="D47" s="82" t="s">
        <v>339</v>
      </c>
      <c r="E47" s="82" t="s">
        <v>8</v>
      </c>
      <c r="F47" s="82" t="s">
        <v>150</v>
      </c>
      <c r="G47" s="82" t="s">
        <v>165</v>
      </c>
      <c r="H47" t="s">
        <v>154</v>
      </c>
      <c r="I47" t="s">
        <v>395</v>
      </c>
      <c r="J47" s="82">
        <v>120</v>
      </c>
      <c r="K47" t="s">
        <v>394</v>
      </c>
      <c r="L47" t="s">
        <v>150</v>
      </c>
      <c r="M47">
        <v>1</v>
      </c>
      <c r="N47" t="s">
        <v>154</v>
      </c>
      <c r="O47" s="85">
        <v>13849</v>
      </c>
      <c r="P47" s="85">
        <f>MISUO[[#This Row],[الكمية]]*MISUO[[#This Row],[سعر البيع ]]</f>
        <v>13849</v>
      </c>
      <c r="Q47" s="85">
        <f>IF(MISUO[[#This Row],[الحالة]]="تم التسليم",MISUO[[#This Row],[إجمالي البيع]],IF(MISUO[[#This Row],[الحالة]]="مرتجع",-MISUO[[#This Row],[إجمالي البيع]],0))</f>
        <v>13849</v>
      </c>
      <c r="R47" s="88" t="s">
        <v>115</v>
      </c>
      <c r="S47" s="89">
        <v>45548</v>
      </c>
      <c r="T47" s="89">
        <v>45565</v>
      </c>
      <c r="U47" s="89">
        <v>45585</v>
      </c>
      <c r="V47" s="89" t="str">
        <f>IF(OR(MISUO[[#This Row],[الحالة]]="مرفوض",MISUO[[#This Row],[الحالة]]="مرتجع"),"لم يتم",
IF(MISUO[[#This Row],[تاريخ التسليم]]&lt;=MISUO[[#This Row],[ميعاد التسليم]],"في الموعد","متأخر"))</f>
        <v>متأخر</v>
      </c>
      <c r="W47" t="s">
        <v>199</v>
      </c>
      <c r="X47" s="82" t="s">
        <v>198</v>
      </c>
    </row>
    <row r="48" spans="1:24" x14ac:dyDescent="0.25">
      <c r="A48" s="82" t="s">
        <v>101</v>
      </c>
      <c r="B48" s="82" t="s">
        <v>346</v>
      </c>
      <c r="C48" t="s">
        <v>102</v>
      </c>
      <c r="D48" s="82" t="s">
        <v>343</v>
      </c>
      <c r="E48" s="82" t="s">
        <v>8</v>
      </c>
      <c r="F48" s="82" t="s">
        <v>166</v>
      </c>
      <c r="G48" s="82" t="s">
        <v>206</v>
      </c>
      <c r="H48" t="s">
        <v>258</v>
      </c>
      <c r="I48" t="s">
        <v>354</v>
      </c>
      <c r="K48" t="s">
        <v>396</v>
      </c>
      <c r="L48" t="s">
        <v>161</v>
      </c>
      <c r="M48">
        <v>1</v>
      </c>
      <c r="N48" t="s">
        <v>363</v>
      </c>
      <c r="O48" s="85">
        <v>21999</v>
      </c>
      <c r="P48" s="85">
        <f>MISUO[[#This Row],[الكمية]]*MISUO[[#This Row],[سعر البيع ]]</f>
        <v>21999</v>
      </c>
      <c r="Q48" s="85">
        <f>IF(MISUO[[#This Row],[الحالة]]="تم التسليم",MISUO[[#This Row],[إجمالي البيع]],IF(MISUO[[#This Row],[الحالة]]="مرتجع",-MISUO[[#This Row],[إجمالي البيع]],0))</f>
        <v>21999</v>
      </c>
      <c r="R48" s="82" t="s">
        <v>16</v>
      </c>
      <c r="S48" s="89">
        <v>45548</v>
      </c>
      <c r="T48" s="89">
        <v>45565</v>
      </c>
      <c r="V48" s="89" t="str">
        <f>IF(OR(MISUO[[#This Row],[الحالة]]="مرفوض",MISUO[[#This Row],[الحالة]]="مرتجع"),"لم يتم",
IF(MISUO[[#This Row],[تاريخ التسليم]]&lt;=MISUO[[#This Row],[ميعاد التسليم]],"في الموعد","متأخر"))</f>
        <v>في الموعد</v>
      </c>
      <c r="W48" t="s">
        <v>199</v>
      </c>
      <c r="X48" s="82" t="s">
        <v>198</v>
      </c>
    </row>
    <row r="49" spans="1:24" x14ac:dyDescent="0.25">
      <c r="A49" s="82" t="s">
        <v>108</v>
      </c>
      <c r="B49" s="82" t="s">
        <v>346</v>
      </c>
      <c r="C49" t="s">
        <v>39</v>
      </c>
      <c r="D49" s="82" t="s">
        <v>339</v>
      </c>
      <c r="E49" s="82" t="s">
        <v>8</v>
      </c>
      <c r="F49" s="82" t="s">
        <v>150</v>
      </c>
      <c r="G49" s="82" t="s">
        <v>165</v>
      </c>
      <c r="H49" t="s">
        <v>154</v>
      </c>
      <c r="I49" t="s">
        <v>352</v>
      </c>
      <c r="J49" s="82">
        <v>80</v>
      </c>
      <c r="K49" t="s">
        <v>392</v>
      </c>
      <c r="L49" t="s">
        <v>150</v>
      </c>
      <c r="M49">
        <v>1</v>
      </c>
      <c r="N49" t="s">
        <v>155</v>
      </c>
      <c r="O49" s="85">
        <v>10999</v>
      </c>
      <c r="P49" s="85">
        <f>MISUO[[#This Row],[الكمية]]*MISUO[[#This Row],[سعر البيع ]]</f>
        <v>10999</v>
      </c>
      <c r="Q49" s="85">
        <f>IF(MISUO[[#This Row],[الحالة]]="تم التسليم",MISUO[[#This Row],[إجمالي البيع]],IF(MISUO[[#This Row],[الحالة]]="مرتجع",-MISUO[[#This Row],[إجمالي البيع]],0))</f>
        <v>10999</v>
      </c>
      <c r="R49" s="88" t="s">
        <v>115</v>
      </c>
      <c r="S49" s="89">
        <v>45548</v>
      </c>
      <c r="T49" s="89">
        <v>45565</v>
      </c>
      <c r="U49" s="89">
        <v>45580</v>
      </c>
      <c r="V49" s="89" t="str">
        <f>IF(OR(MISUO[[#This Row],[الحالة]]="مرفوض",MISUO[[#This Row],[الحالة]]="مرتجع"),"لم يتم",
IF(MISUO[[#This Row],[تاريخ التسليم]]&lt;=MISUO[[#This Row],[ميعاد التسليم]],"في الموعد","متأخر"))</f>
        <v>متأخر</v>
      </c>
      <c r="W49" t="s">
        <v>199</v>
      </c>
      <c r="X49" s="82" t="s">
        <v>198</v>
      </c>
    </row>
    <row r="50" spans="1:24" x14ac:dyDescent="0.25">
      <c r="A50" s="82" t="s">
        <v>110</v>
      </c>
      <c r="B50" s="82" t="s">
        <v>346</v>
      </c>
      <c r="C50" t="s">
        <v>107</v>
      </c>
      <c r="D50" s="82" t="s">
        <v>343</v>
      </c>
      <c r="E50" s="82" t="s">
        <v>8</v>
      </c>
      <c r="F50" s="82" t="s">
        <v>150</v>
      </c>
      <c r="G50" s="82" t="s">
        <v>171</v>
      </c>
      <c r="H50" t="s">
        <v>154</v>
      </c>
      <c r="I50" t="s">
        <v>354</v>
      </c>
      <c r="J50" s="82">
        <v>90</v>
      </c>
      <c r="K50" t="s">
        <v>397</v>
      </c>
      <c r="L50" t="s">
        <v>150</v>
      </c>
      <c r="M50">
        <v>1</v>
      </c>
      <c r="N50" t="s">
        <v>384</v>
      </c>
      <c r="O50" s="85">
        <v>17249</v>
      </c>
      <c r="P50" s="85">
        <f>MISUO[[#This Row],[الكمية]]*MISUO[[#This Row],[سعر البيع ]]</f>
        <v>17249</v>
      </c>
      <c r="Q50" s="85">
        <f>IF(MISUO[[#This Row],[الحالة]]="تم التسليم",MISUO[[#This Row],[إجمالي البيع]],IF(MISUO[[#This Row],[الحالة]]="مرتجع",-MISUO[[#This Row],[إجمالي البيع]],0))</f>
        <v>17249</v>
      </c>
      <c r="R50" s="88" t="s">
        <v>115</v>
      </c>
      <c r="S50" s="89">
        <v>45548</v>
      </c>
      <c r="T50" s="89">
        <v>45565</v>
      </c>
      <c r="U50" s="89">
        <v>45569</v>
      </c>
      <c r="V50" s="89" t="str">
        <f>IF(OR(MISUO[[#This Row],[الحالة]]="مرفوض",MISUO[[#This Row],[الحالة]]="مرتجع"),"لم يتم",
IF(MISUO[[#This Row],[تاريخ التسليم]]&lt;=MISUO[[#This Row],[ميعاد التسليم]],"في الموعد","متأخر"))</f>
        <v>متأخر</v>
      </c>
      <c r="W50" t="s">
        <v>199</v>
      </c>
      <c r="X50" s="82" t="s">
        <v>198</v>
      </c>
    </row>
    <row r="51" spans="1:24" x14ac:dyDescent="0.25">
      <c r="A51" s="82" t="s">
        <v>138</v>
      </c>
      <c r="B51" s="82" t="s">
        <v>346</v>
      </c>
      <c r="C51" t="s">
        <v>139</v>
      </c>
      <c r="D51" s="82" t="s">
        <v>339</v>
      </c>
      <c r="E51" s="82" t="s">
        <v>8</v>
      </c>
      <c r="F51" s="82" t="s">
        <v>292</v>
      </c>
      <c r="G51" s="82" t="s">
        <v>187</v>
      </c>
      <c r="K51" t="s">
        <v>398</v>
      </c>
      <c r="L51" t="s">
        <v>358</v>
      </c>
      <c r="M51">
        <v>1</v>
      </c>
      <c r="N51" t="s">
        <v>399</v>
      </c>
      <c r="O51" s="85">
        <v>8349</v>
      </c>
      <c r="P51" s="85">
        <f>MISUO[[#This Row],[الكمية]]*MISUO[[#This Row],[سعر البيع ]]</f>
        <v>8349</v>
      </c>
      <c r="Q51" s="85">
        <f>IF(MISUO[[#This Row],[الحالة]]="تم التسليم",MISUO[[#This Row],[إجمالي البيع]],IF(MISUO[[#This Row],[الحالة]]="مرتجع",-MISUO[[#This Row],[إجمالي البيع]],0))</f>
        <v>8349</v>
      </c>
      <c r="R51" s="82" t="s">
        <v>16</v>
      </c>
      <c r="S51" s="89">
        <v>45549</v>
      </c>
      <c r="T51" s="89">
        <v>45581</v>
      </c>
      <c r="U51" s="89">
        <v>45586</v>
      </c>
      <c r="V51" s="89" t="str">
        <f>IF(OR(MISUO[[#This Row],[الحالة]]="مرفوض",MISUO[[#This Row],[الحالة]]="مرتجع"),"لم يتم",
IF(MISUO[[#This Row],[تاريخ التسليم]]&lt;=MISUO[[#This Row],[ميعاد التسليم]],"في الموعد","متأخر"))</f>
        <v>متأخر</v>
      </c>
      <c r="W51" t="s">
        <v>199</v>
      </c>
      <c r="X51" s="82" t="s">
        <v>198</v>
      </c>
    </row>
    <row r="52" spans="1:24" x14ac:dyDescent="0.25">
      <c r="A52" s="82" t="s">
        <v>118</v>
      </c>
      <c r="B52" s="82" t="s">
        <v>346</v>
      </c>
      <c r="C52" t="s">
        <v>62</v>
      </c>
      <c r="D52" s="82" t="s">
        <v>343</v>
      </c>
      <c r="E52" s="82" t="s">
        <v>8</v>
      </c>
      <c r="F52" s="82" t="s">
        <v>292</v>
      </c>
      <c r="G52" s="82" t="s">
        <v>188</v>
      </c>
      <c r="K52" t="s">
        <v>357</v>
      </c>
      <c r="L52" t="s">
        <v>358</v>
      </c>
      <c r="M52">
        <v>1</v>
      </c>
      <c r="N52" t="s">
        <v>359</v>
      </c>
      <c r="O52" s="85">
        <v>7849</v>
      </c>
      <c r="P52" s="85">
        <f>MISUO[[#This Row],[الكمية]]*MISUO[[#This Row],[سعر البيع ]]</f>
        <v>7849</v>
      </c>
      <c r="Q52" s="85">
        <f>IF(MISUO[[#This Row],[الحالة]]="تم التسليم",MISUO[[#This Row],[إجمالي البيع]],IF(MISUO[[#This Row],[الحالة]]="مرتجع",-MISUO[[#This Row],[إجمالي البيع]],0))</f>
        <v>7849</v>
      </c>
      <c r="R52" s="82" t="s">
        <v>16</v>
      </c>
      <c r="S52" s="89">
        <v>45549</v>
      </c>
      <c r="T52" s="89">
        <v>45594</v>
      </c>
      <c r="U52" s="89">
        <v>45595</v>
      </c>
      <c r="V52" s="89" t="str">
        <f>IF(OR(MISUO[[#This Row],[الحالة]]="مرفوض",MISUO[[#This Row],[الحالة]]="مرتجع"),"لم يتم",
IF(MISUO[[#This Row],[تاريخ التسليم]]&lt;=MISUO[[#This Row],[ميعاد التسليم]],"في الموعد","متأخر"))</f>
        <v>متأخر</v>
      </c>
      <c r="W52" t="s">
        <v>199</v>
      </c>
      <c r="X52" s="82" t="s">
        <v>198</v>
      </c>
    </row>
    <row r="53" spans="1:24" x14ac:dyDescent="0.25">
      <c r="A53" s="82" t="s">
        <v>119</v>
      </c>
      <c r="B53" s="82" t="s">
        <v>346</v>
      </c>
      <c r="C53" t="s">
        <v>39</v>
      </c>
      <c r="D53" s="82" t="s">
        <v>339</v>
      </c>
      <c r="E53" s="82" t="s">
        <v>8</v>
      </c>
      <c r="F53" s="82" t="s">
        <v>150</v>
      </c>
      <c r="G53" s="82" t="s">
        <v>151</v>
      </c>
      <c r="I53" t="s">
        <v>354</v>
      </c>
      <c r="K53" t="s">
        <v>400</v>
      </c>
      <c r="L53" t="s">
        <v>150</v>
      </c>
      <c r="M53">
        <v>1</v>
      </c>
      <c r="N53" t="s">
        <v>151</v>
      </c>
      <c r="O53" s="85">
        <v>9399</v>
      </c>
      <c r="P53" s="85">
        <f>MISUO[[#This Row],[الكمية]]*MISUO[[#This Row],[سعر البيع ]]</f>
        <v>9399</v>
      </c>
      <c r="Q53" s="85">
        <f>IF(MISUO[[#This Row],[الحالة]]="تم التسليم",MISUO[[#This Row],[إجمالي البيع]],IF(MISUO[[#This Row],[الحالة]]="مرتجع",-MISUO[[#This Row],[إجمالي البيع]],0))</f>
        <v>9399</v>
      </c>
      <c r="R53" s="88" t="s">
        <v>115</v>
      </c>
      <c r="S53" s="89">
        <v>45549</v>
      </c>
      <c r="T53" s="89">
        <v>45594</v>
      </c>
      <c r="U53" s="89">
        <v>45580</v>
      </c>
      <c r="V53" s="89" t="str">
        <f>IF(OR(MISUO[[#This Row],[الحالة]]="مرفوض",MISUO[[#This Row],[الحالة]]="مرتجع"),"لم يتم",
IF(MISUO[[#This Row],[تاريخ التسليم]]&lt;=MISUO[[#This Row],[ميعاد التسليم]],"في الموعد","متأخر"))</f>
        <v>في الموعد</v>
      </c>
      <c r="W53" t="s">
        <v>199</v>
      </c>
      <c r="X53" s="82" t="s">
        <v>198</v>
      </c>
    </row>
    <row r="54" spans="1:24" x14ac:dyDescent="0.25">
      <c r="A54" s="82" t="s">
        <v>121</v>
      </c>
      <c r="B54" s="82" t="s">
        <v>346</v>
      </c>
      <c r="C54" t="s">
        <v>122</v>
      </c>
      <c r="D54" s="82" t="s">
        <v>339</v>
      </c>
      <c r="E54" s="82" t="s">
        <v>8</v>
      </c>
      <c r="F54" s="82" t="s">
        <v>150</v>
      </c>
      <c r="G54" s="82" t="s">
        <v>153</v>
      </c>
      <c r="H54" t="s">
        <v>156</v>
      </c>
      <c r="I54" t="s">
        <v>354</v>
      </c>
      <c r="J54" s="82">
        <v>140</v>
      </c>
      <c r="K54" t="s">
        <v>401</v>
      </c>
      <c r="L54" t="s">
        <v>150</v>
      </c>
      <c r="M54">
        <v>1</v>
      </c>
      <c r="N54" t="s">
        <v>375</v>
      </c>
      <c r="O54" s="85">
        <v>11817</v>
      </c>
      <c r="P54" s="85">
        <f>MISUO[[#This Row],[الكمية]]*MISUO[[#This Row],[سعر البيع ]]</f>
        <v>11817</v>
      </c>
      <c r="Q54" s="85">
        <f>IF(MISUO[[#This Row],[الحالة]]="تم التسليم",MISUO[[#This Row],[إجمالي البيع]],IF(MISUO[[#This Row],[الحالة]]="مرتجع",-MISUO[[#This Row],[إجمالي البيع]],0))</f>
        <v>11817</v>
      </c>
      <c r="R54" s="88" t="s">
        <v>115</v>
      </c>
      <c r="S54" s="89">
        <v>45549</v>
      </c>
      <c r="T54" s="89">
        <v>45594</v>
      </c>
      <c r="U54" s="89">
        <v>45580</v>
      </c>
      <c r="V54" s="89" t="str">
        <f>IF(OR(MISUO[[#This Row],[الحالة]]="مرفوض",MISUO[[#This Row],[الحالة]]="مرتجع"),"لم يتم",
IF(MISUO[[#This Row],[تاريخ التسليم]]&lt;=MISUO[[#This Row],[ميعاد التسليم]],"في الموعد","متأخر"))</f>
        <v>في الموعد</v>
      </c>
      <c r="W54" t="s">
        <v>199</v>
      </c>
      <c r="X54" s="82" t="s">
        <v>198</v>
      </c>
    </row>
    <row r="55" spans="1:24" x14ac:dyDescent="0.25">
      <c r="A55" s="82" t="s">
        <v>124</v>
      </c>
      <c r="B55" s="82" t="s">
        <v>346</v>
      </c>
      <c r="C55" t="s">
        <v>88</v>
      </c>
      <c r="D55" s="82" t="s">
        <v>343</v>
      </c>
      <c r="E55" s="82" t="s">
        <v>8</v>
      </c>
      <c r="F55" s="82" t="s">
        <v>292</v>
      </c>
      <c r="G55" s="82" t="s">
        <v>189</v>
      </c>
      <c r="K55" t="s">
        <v>402</v>
      </c>
      <c r="L55" t="s">
        <v>358</v>
      </c>
      <c r="M55">
        <v>1</v>
      </c>
      <c r="N55" t="s">
        <v>403</v>
      </c>
      <c r="O55" s="85">
        <v>8349</v>
      </c>
      <c r="P55" s="85">
        <f>MISUO[[#This Row],[الكمية]]*MISUO[[#This Row],[سعر البيع ]]</f>
        <v>8349</v>
      </c>
      <c r="Q55" s="85">
        <f>IF(MISUO[[#This Row],[الحالة]]="تم التسليم",MISUO[[#This Row],[إجمالي البيع]],IF(MISUO[[#This Row],[الحالة]]="مرتجع",-MISUO[[#This Row],[إجمالي البيع]],0))</f>
        <v>8349</v>
      </c>
      <c r="R55" s="82" t="s">
        <v>115</v>
      </c>
      <c r="S55" s="89">
        <v>45549</v>
      </c>
      <c r="T55" s="89">
        <v>45594</v>
      </c>
      <c r="U55" s="89">
        <v>45584</v>
      </c>
      <c r="V55" s="89" t="str">
        <f>IF(OR(MISUO[[#This Row],[الحالة]]="مرفوض",MISUO[[#This Row],[الحالة]]="مرتجع"),"لم يتم",
IF(MISUO[[#This Row],[تاريخ التسليم]]&lt;=MISUO[[#This Row],[ميعاد التسليم]],"في الموعد","متأخر"))</f>
        <v>في الموعد</v>
      </c>
      <c r="W55" t="s">
        <v>199</v>
      </c>
      <c r="X55" s="82" t="s">
        <v>198</v>
      </c>
    </row>
    <row r="56" spans="1:24" hidden="1" x14ac:dyDescent="0.25">
      <c r="A56" s="82" t="s">
        <v>128</v>
      </c>
      <c r="B56" s="82" t="s">
        <v>346</v>
      </c>
      <c r="C56" t="s">
        <v>129</v>
      </c>
      <c r="D56" s="82" t="s">
        <v>343</v>
      </c>
      <c r="E56" s="82" t="s">
        <v>8</v>
      </c>
      <c r="F56" s="82" t="s">
        <v>150</v>
      </c>
      <c r="G56" s="82" t="s">
        <v>153</v>
      </c>
      <c r="H56" t="s">
        <v>177</v>
      </c>
      <c r="I56" t="s">
        <v>352</v>
      </c>
      <c r="J56" s="82">
        <v>120</v>
      </c>
      <c r="K56" t="s">
        <v>404</v>
      </c>
      <c r="L56" t="s">
        <v>150</v>
      </c>
      <c r="M56">
        <v>2</v>
      </c>
      <c r="N56" t="s">
        <v>177</v>
      </c>
      <c r="O56" s="85">
        <v>17886</v>
      </c>
      <c r="P56" s="85">
        <f>MISUO[[#This Row],[الكمية]]*MISUO[[#This Row],[سعر البيع ]]</f>
        <v>35772</v>
      </c>
      <c r="Q56" s="85">
        <f>IF(MISUO[[#This Row],[الحالة]]="تم التسليم",MISUO[[#This Row],[إجمالي البيع]],IF(MISUO[[#This Row],[الحالة]]="مرتجع",-MISUO[[#This Row],[إجمالي البيع]],0))</f>
        <v>0</v>
      </c>
      <c r="R56" s="88" t="s">
        <v>115</v>
      </c>
      <c r="S56" s="89">
        <v>45549</v>
      </c>
      <c r="T56" s="89">
        <v>45594</v>
      </c>
      <c r="V56" s="89" t="str">
        <f>IF(OR(MISUO[[#This Row],[الحالة]]="مرفوض",MISUO[[#This Row],[الحالة]]="مرتجع"),"لم يتم",
IF(MISUO[[#This Row],[تاريخ التسليم]]&lt;=MISUO[[#This Row],[ميعاد التسليم]],"في الموعد","متأخر"))</f>
        <v>لم يتم</v>
      </c>
      <c r="X56" s="82" t="s">
        <v>333</v>
      </c>
    </row>
    <row r="57" spans="1:24" hidden="1" x14ac:dyDescent="0.25">
      <c r="A57" s="82" t="s">
        <v>128</v>
      </c>
      <c r="B57" s="82" t="s">
        <v>346</v>
      </c>
      <c r="C57" t="s">
        <v>129</v>
      </c>
      <c r="D57" s="82" t="s">
        <v>343</v>
      </c>
      <c r="E57" s="82" t="s">
        <v>8</v>
      </c>
      <c r="F57" s="82" t="s">
        <v>150</v>
      </c>
      <c r="G57" s="82" t="s">
        <v>153</v>
      </c>
      <c r="H57" t="s">
        <v>177</v>
      </c>
      <c r="I57" t="s">
        <v>352</v>
      </c>
      <c r="J57" s="82">
        <v>120</v>
      </c>
      <c r="K57" t="s">
        <v>404</v>
      </c>
      <c r="L57" t="s">
        <v>150</v>
      </c>
      <c r="M57">
        <v>2</v>
      </c>
      <c r="N57" t="s">
        <v>177</v>
      </c>
      <c r="O57" s="85">
        <v>17886</v>
      </c>
      <c r="P57" s="85">
        <f>MISUO[[#This Row],[الكمية]]*MISUO[[#This Row],[سعر البيع ]]</f>
        <v>35772</v>
      </c>
      <c r="Q57" s="85">
        <f>IF(MISUO[[#This Row],[الحالة]]="تم التسليم",MISUO[[#This Row],[إجمالي البيع]],IF(MISUO[[#This Row],[الحالة]]="مرتجع",-MISUO[[#This Row],[إجمالي البيع]],0))</f>
        <v>0</v>
      </c>
      <c r="R57" s="88" t="s">
        <v>115</v>
      </c>
      <c r="S57" s="89">
        <v>45549</v>
      </c>
      <c r="T57" s="89">
        <v>45594</v>
      </c>
      <c r="V57" s="89" t="str">
        <f>IF(OR(MISUO[[#This Row],[الحالة]]="مرفوض",MISUO[[#This Row],[الحالة]]="مرتجع"),"لم يتم",
IF(MISUO[[#This Row],[تاريخ التسليم]]&lt;=MISUO[[#This Row],[ميعاد التسليم]],"في الموعد","متأخر"))</f>
        <v>لم يتم</v>
      </c>
      <c r="X57" s="82" t="s">
        <v>333</v>
      </c>
    </row>
    <row r="58" spans="1:24" x14ac:dyDescent="0.25">
      <c r="A58" s="82" t="s">
        <v>131</v>
      </c>
      <c r="B58" s="82" t="s">
        <v>346</v>
      </c>
      <c r="C58" t="s">
        <v>67</v>
      </c>
      <c r="D58" s="82" t="s">
        <v>343</v>
      </c>
      <c r="E58" s="82" t="s">
        <v>8</v>
      </c>
      <c r="F58" s="82" t="s">
        <v>150</v>
      </c>
      <c r="G58" s="82" t="s">
        <v>153</v>
      </c>
      <c r="H58" t="s">
        <v>156</v>
      </c>
      <c r="I58" t="s">
        <v>352</v>
      </c>
      <c r="J58" s="82">
        <v>120</v>
      </c>
      <c r="K58" t="s">
        <v>70</v>
      </c>
      <c r="L58" t="s">
        <v>150</v>
      </c>
      <c r="M58">
        <v>2</v>
      </c>
      <c r="N58" t="s">
        <v>375</v>
      </c>
      <c r="O58" s="85">
        <v>10987</v>
      </c>
      <c r="P58" s="85">
        <f>MISUO[[#This Row],[الكمية]]*MISUO[[#This Row],[سعر البيع ]]</f>
        <v>21974</v>
      </c>
      <c r="Q58" s="85">
        <f>IF(MISUO[[#This Row],[الحالة]]="تم التسليم",MISUO[[#This Row],[إجمالي البيع]],IF(MISUO[[#This Row],[الحالة]]="مرتجع",-MISUO[[#This Row],[إجمالي البيع]],0))</f>
        <v>21974</v>
      </c>
      <c r="R58" s="88" t="s">
        <v>115</v>
      </c>
      <c r="S58" s="89">
        <v>45549</v>
      </c>
      <c r="T58" s="89">
        <v>45594</v>
      </c>
      <c r="U58" s="89">
        <v>45578</v>
      </c>
      <c r="V58" s="89" t="str">
        <f>IF(OR(MISUO[[#This Row],[الحالة]]="مرفوض",MISUO[[#This Row],[الحالة]]="مرتجع"),"لم يتم",
IF(MISUO[[#This Row],[تاريخ التسليم]]&lt;=MISUO[[#This Row],[ميعاد التسليم]],"في الموعد","متأخر"))</f>
        <v>في الموعد</v>
      </c>
      <c r="W58" t="s">
        <v>199</v>
      </c>
      <c r="X58" s="82" t="s">
        <v>198</v>
      </c>
    </row>
    <row r="59" spans="1:24" x14ac:dyDescent="0.25">
      <c r="A59" s="82" t="s">
        <v>131</v>
      </c>
      <c r="B59" s="82" t="s">
        <v>346</v>
      </c>
      <c r="C59" t="s">
        <v>67</v>
      </c>
      <c r="D59" s="82" t="s">
        <v>343</v>
      </c>
      <c r="E59" s="82" t="s">
        <v>8</v>
      </c>
      <c r="F59" s="82" t="s">
        <v>150</v>
      </c>
      <c r="G59" s="82" t="s">
        <v>153</v>
      </c>
      <c r="H59" t="s">
        <v>156</v>
      </c>
      <c r="I59" t="s">
        <v>352</v>
      </c>
      <c r="J59" s="82">
        <v>120</v>
      </c>
      <c r="K59" t="s">
        <v>70</v>
      </c>
      <c r="L59" t="s">
        <v>150</v>
      </c>
      <c r="M59">
        <v>2</v>
      </c>
      <c r="N59" t="s">
        <v>375</v>
      </c>
      <c r="O59" s="85">
        <v>10987</v>
      </c>
      <c r="P59" s="85">
        <f>MISUO[[#This Row],[الكمية]]*MISUO[[#This Row],[سعر البيع ]]</f>
        <v>21974</v>
      </c>
      <c r="Q59" s="85">
        <f>IF(MISUO[[#This Row],[الحالة]]="تم التسليم",MISUO[[#This Row],[إجمالي البيع]],IF(MISUO[[#This Row],[الحالة]]="مرتجع",-MISUO[[#This Row],[إجمالي البيع]],0))</f>
        <v>21974</v>
      </c>
      <c r="R59" s="88" t="s">
        <v>115</v>
      </c>
      <c r="S59" s="89">
        <v>45549</v>
      </c>
      <c r="T59" s="89">
        <v>45594</v>
      </c>
      <c r="U59" s="89">
        <v>45578</v>
      </c>
      <c r="V59" s="89" t="str">
        <f>IF(OR(MISUO[[#This Row],[الحالة]]="مرفوض",MISUO[[#This Row],[الحالة]]="مرتجع"),"لم يتم",
IF(MISUO[[#This Row],[تاريخ التسليم]]&lt;=MISUO[[#This Row],[ميعاد التسليم]],"في الموعد","متأخر"))</f>
        <v>في الموعد</v>
      </c>
      <c r="W59" t="s">
        <v>199</v>
      </c>
      <c r="X59" s="82" t="s">
        <v>198</v>
      </c>
    </row>
    <row r="60" spans="1:24" x14ac:dyDescent="0.25">
      <c r="A60" s="82" t="s">
        <v>134</v>
      </c>
      <c r="B60" s="82" t="s">
        <v>346</v>
      </c>
      <c r="C60" t="s">
        <v>135</v>
      </c>
      <c r="D60" s="82" t="s">
        <v>343</v>
      </c>
      <c r="E60" s="82" t="s">
        <v>8</v>
      </c>
      <c r="F60" s="82" t="s">
        <v>292</v>
      </c>
      <c r="G60" s="82" t="s">
        <v>187</v>
      </c>
      <c r="K60" t="s">
        <v>369</v>
      </c>
      <c r="L60" t="s">
        <v>358</v>
      </c>
      <c r="M60">
        <v>1</v>
      </c>
      <c r="N60" t="s">
        <v>370</v>
      </c>
      <c r="O60" s="85">
        <v>10319</v>
      </c>
      <c r="P60" s="85">
        <f>MISUO[[#This Row],[الكمية]]*MISUO[[#This Row],[سعر البيع ]]</f>
        <v>10319</v>
      </c>
      <c r="Q60" s="85">
        <f>IF(MISUO[[#This Row],[الحالة]]="تم التسليم",MISUO[[#This Row],[إجمالي البيع]],IF(MISUO[[#This Row],[الحالة]]="مرتجع",-MISUO[[#This Row],[إجمالي البيع]],0))</f>
        <v>10319</v>
      </c>
      <c r="R60" s="82" t="s">
        <v>16</v>
      </c>
      <c r="S60" s="89">
        <v>45549</v>
      </c>
      <c r="T60" s="89">
        <v>45594</v>
      </c>
      <c r="U60" s="89">
        <v>45584</v>
      </c>
      <c r="V60" s="89" t="str">
        <f>IF(OR(MISUO[[#This Row],[الحالة]]="مرفوض",MISUO[[#This Row],[الحالة]]="مرتجع"),"لم يتم",
IF(MISUO[[#This Row],[تاريخ التسليم]]&lt;=MISUO[[#This Row],[ميعاد التسليم]],"في الموعد","متأخر"))</f>
        <v>في الموعد</v>
      </c>
      <c r="W60" t="s">
        <v>199</v>
      </c>
      <c r="X60" s="82" t="s">
        <v>198</v>
      </c>
    </row>
    <row r="61" spans="1:24" x14ac:dyDescent="0.25">
      <c r="A61" s="82" t="s">
        <v>112</v>
      </c>
      <c r="B61" s="82" t="s">
        <v>346</v>
      </c>
      <c r="C61" t="s">
        <v>113</v>
      </c>
      <c r="D61" s="82" t="s">
        <v>344</v>
      </c>
      <c r="E61" s="82" t="s">
        <v>8</v>
      </c>
      <c r="F61" s="82" t="s">
        <v>150</v>
      </c>
      <c r="G61" s="82" t="s">
        <v>165</v>
      </c>
      <c r="H61" t="s">
        <v>154</v>
      </c>
      <c r="I61" t="s">
        <v>361</v>
      </c>
      <c r="J61" s="82">
        <v>120</v>
      </c>
      <c r="K61" t="s">
        <v>405</v>
      </c>
      <c r="L61" t="s">
        <v>150</v>
      </c>
      <c r="M61">
        <v>1</v>
      </c>
      <c r="N61" t="s">
        <v>155</v>
      </c>
      <c r="O61" s="85">
        <v>12999</v>
      </c>
      <c r="P61" s="85">
        <f>MISUO[[#This Row],[الكمية]]*MISUO[[#This Row],[سعر البيع ]]</f>
        <v>12999</v>
      </c>
      <c r="Q61" s="85">
        <f>IF(MISUO[[#This Row],[الحالة]]="تم التسليم",MISUO[[#This Row],[إجمالي البيع]],IF(MISUO[[#This Row],[الحالة]]="مرتجع",-MISUO[[#This Row],[إجمالي البيع]],0))</f>
        <v>12999</v>
      </c>
      <c r="R61" s="88" t="s">
        <v>115</v>
      </c>
      <c r="S61" s="89">
        <v>45549</v>
      </c>
      <c r="T61" s="89">
        <v>45616</v>
      </c>
      <c r="U61" s="89">
        <v>45582</v>
      </c>
      <c r="V61" s="89" t="str">
        <f>IF(OR(MISUO[[#This Row],[الحالة]]="مرفوض",MISUO[[#This Row],[الحالة]]="مرتجع"),"لم يتم",
IF(MISUO[[#This Row],[تاريخ التسليم]]&lt;=MISUO[[#This Row],[ميعاد التسليم]],"في الموعد","متأخر"))</f>
        <v>في الموعد</v>
      </c>
      <c r="W61" t="s">
        <v>28</v>
      </c>
      <c r="X61" s="82" t="s">
        <v>198</v>
      </c>
    </row>
    <row r="62" spans="1:24" hidden="1" x14ac:dyDescent="0.25">
      <c r="A62" s="82" t="s">
        <v>116</v>
      </c>
      <c r="B62" s="82" t="s">
        <v>346</v>
      </c>
      <c r="C62" t="s">
        <v>117</v>
      </c>
      <c r="D62" s="82" t="s">
        <v>342</v>
      </c>
      <c r="E62" s="82" t="s">
        <v>8</v>
      </c>
      <c r="F62" s="82" t="s">
        <v>166</v>
      </c>
      <c r="G62" s="82" t="s">
        <v>206</v>
      </c>
      <c r="H62" t="s">
        <v>258</v>
      </c>
      <c r="I62" t="s">
        <v>354</v>
      </c>
      <c r="K62" t="s">
        <v>396</v>
      </c>
      <c r="L62" t="s">
        <v>161</v>
      </c>
      <c r="M62">
        <v>1</v>
      </c>
      <c r="N62" t="s">
        <v>363</v>
      </c>
      <c r="O62" s="85">
        <v>21999</v>
      </c>
      <c r="P62" s="85">
        <f>MISUO[[#This Row],[الكمية]]*MISUO[[#This Row],[سعر البيع ]]</f>
        <v>21999</v>
      </c>
      <c r="Q62" s="85">
        <f>IF(MISUO[[#This Row],[الحالة]]="تم التسليم",MISUO[[#This Row],[إجمالي البيع]],IF(MISUO[[#This Row],[الحالة]]="مرتجع",-MISUO[[#This Row],[إجمالي البيع]],0))</f>
        <v>0</v>
      </c>
      <c r="R62" s="82" t="s">
        <v>16</v>
      </c>
      <c r="S62" s="89">
        <v>45549</v>
      </c>
      <c r="T62" s="89">
        <v>45616</v>
      </c>
      <c r="V62" s="89" t="str">
        <f>IF(OR(MISUO[[#This Row],[الحالة]]="مرفوض",MISUO[[#This Row],[الحالة]]="مرتجع"),"لم يتم",
IF(MISUO[[#This Row],[تاريخ التسليم]]&lt;=MISUO[[#This Row],[ميعاد التسليم]],"في الموعد","متأخر"))</f>
        <v>لم يتم</v>
      </c>
      <c r="X62" s="82" t="s">
        <v>333</v>
      </c>
    </row>
    <row r="63" spans="1:24" x14ac:dyDescent="0.25">
      <c r="A63" s="82" t="s">
        <v>126</v>
      </c>
      <c r="B63" s="82" t="s">
        <v>346</v>
      </c>
      <c r="C63" t="s">
        <v>88</v>
      </c>
      <c r="D63" s="82" t="s">
        <v>343</v>
      </c>
      <c r="E63" s="82" t="s">
        <v>8</v>
      </c>
      <c r="F63" s="82" t="s">
        <v>150</v>
      </c>
      <c r="G63" s="82" t="s">
        <v>165</v>
      </c>
      <c r="H63" t="s">
        <v>152</v>
      </c>
      <c r="I63" t="s">
        <v>361</v>
      </c>
      <c r="J63" s="82">
        <v>100</v>
      </c>
      <c r="K63" t="s">
        <v>406</v>
      </c>
      <c r="L63" t="s">
        <v>150</v>
      </c>
      <c r="M63">
        <v>1</v>
      </c>
      <c r="N63" t="s">
        <v>152</v>
      </c>
      <c r="O63" s="85">
        <v>12399</v>
      </c>
      <c r="P63" s="85">
        <f>MISUO[[#This Row],[الكمية]]*MISUO[[#This Row],[سعر البيع ]]</f>
        <v>12399</v>
      </c>
      <c r="Q63" s="85">
        <f>IF(MISUO[[#This Row],[الحالة]]="تم التسليم",MISUO[[#This Row],[إجمالي البيع]],IF(MISUO[[#This Row],[الحالة]]="مرتجع",-MISUO[[#This Row],[إجمالي البيع]],0))</f>
        <v>12399</v>
      </c>
      <c r="R63" s="88" t="s">
        <v>115</v>
      </c>
      <c r="S63" s="89">
        <v>45549</v>
      </c>
      <c r="T63" s="89">
        <v>45616</v>
      </c>
      <c r="U63" s="89">
        <v>45566</v>
      </c>
      <c r="V63" s="89" t="str">
        <f>IF(OR(MISUO[[#This Row],[الحالة]]="مرفوض",MISUO[[#This Row],[الحالة]]="مرتجع"),"لم يتم",
IF(MISUO[[#This Row],[تاريخ التسليم]]&lt;=MISUO[[#This Row],[ميعاد التسليم]],"في الموعد","متأخر"))</f>
        <v>في الموعد</v>
      </c>
      <c r="W63" t="s">
        <v>28</v>
      </c>
      <c r="X63" s="82" t="s">
        <v>198</v>
      </c>
    </row>
    <row r="64" spans="1:24" x14ac:dyDescent="0.25">
      <c r="A64" s="82" t="s">
        <v>133</v>
      </c>
      <c r="B64" s="82" t="s">
        <v>346</v>
      </c>
      <c r="C64" t="s">
        <v>67</v>
      </c>
      <c r="D64" s="82" t="s">
        <v>343</v>
      </c>
      <c r="E64" s="82" t="s">
        <v>8</v>
      </c>
      <c r="F64" s="82" t="s">
        <v>166</v>
      </c>
      <c r="G64" s="82" t="s">
        <v>206</v>
      </c>
      <c r="H64" t="s">
        <v>258</v>
      </c>
      <c r="I64" t="s">
        <v>354</v>
      </c>
      <c r="K64" t="s">
        <v>396</v>
      </c>
      <c r="L64" t="s">
        <v>161</v>
      </c>
      <c r="M64">
        <v>1</v>
      </c>
      <c r="N64" t="s">
        <v>363</v>
      </c>
      <c r="O64" s="85">
        <v>21999</v>
      </c>
      <c r="P64" s="85">
        <f>MISUO[[#This Row],[الكمية]]*MISUO[[#This Row],[سعر البيع ]]</f>
        <v>21999</v>
      </c>
      <c r="Q64" s="85">
        <f>IF(MISUO[[#This Row],[الحالة]]="تم التسليم",MISUO[[#This Row],[إجمالي البيع]],IF(MISUO[[#This Row],[الحالة]]="مرتجع",-MISUO[[#This Row],[إجمالي البيع]],0))</f>
        <v>21999</v>
      </c>
      <c r="R64" s="82" t="s">
        <v>16</v>
      </c>
      <c r="S64" s="89">
        <v>45549</v>
      </c>
      <c r="T64" s="89">
        <v>45616</v>
      </c>
      <c r="U64" s="89">
        <v>45574</v>
      </c>
      <c r="V64" s="89" t="str">
        <f>IF(OR(MISUO[[#This Row],[الحالة]]="مرفوض",MISUO[[#This Row],[الحالة]]="مرتجع"),"لم يتم",
IF(MISUO[[#This Row],[تاريخ التسليم]]&lt;=MISUO[[#This Row],[ميعاد التسليم]],"في الموعد","متأخر"))</f>
        <v>في الموعد</v>
      </c>
      <c r="W64" t="s">
        <v>199</v>
      </c>
      <c r="X64" s="82" t="s">
        <v>198</v>
      </c>
    </row>
    <row r="65" spans="1:24" x14ac:dyDescent="0.25">
      <c r="A65" s="82" t="s">
        <v>136</v>
      </c>
      <c r="B65" s="82" t="s">
        <v>346</v>
      </c>
      <c r="C65" t="s">
        <v>62</v>
      </c>
      <c r="D65" s="82" t="s">
        <v>343</v>
      </c>
      <c r="E65" s="82" t="s">
        <v>8</v>
      </c>
      <c r="F65" s="82" t="s">
        <v>150</v>
      </c>
      <c r="G65" s="82" t="s">
        <v>165</v>
      </c>
      <c r="H65" t="s">
        <v>152</v>
      </c>
      <c r="I65" t="s">
        <v>352</v>
      </c>
      <c r="J65" s="82">
        <v>80</v>
      </c>
      <c r="K65" t="s">
        <v>407</v>
      </c>
      <c r="L65" t="s">
        <v>150</v>
      </c>
      <c r="M65">
        <v>1</v>
      </c>
      <c r="N65" t="s">
        <v>152</v>
      </c>
      <c r="O65" s="85">
        <v>10999</v>
      </c>
      <c r="P65" s="85">
        <f>MISUO[[#This Row],[الكمية]]*MISUO[[#This Row],[سعر البيع ]]</f>
        <v>10999</v>
      </c>
      <c r="Q65" s="85">
        <f>IF(MISUO[[#This Row],[الحالة]]="تم التسليم",MISUO[[#This Row],[إجمالي البيع]],IF(MISUO[[#This Row],[الحالة]]="مرتجع",-MISUO[[#This Row],[إجمالي البيع]],0))</f>
        <v>10999</v>
      </c>
      <c r="R65" s="88" t="s">
        <v>115</v>
      </c>
      <c r="S65" s="89">
        <v>45549</v>
      </c>
      <c r="T65" s="89">
        <v>45616</v>
      </c>
      <c r="U65" s="89">
        <v>45581</v>
      </c>
      <c r="V65" s="89" t="str">
        <f>IF(OR(MISUO[[#This Row],[الحالة]]="مرفوض",MISUO[[#This Row],[الحالة]]="مرتجع"),"لم يتم",
IF(MISUO[[#This Row],[تاريخ التسليم]]&lt;=MISUO[[#This Row],[ميعاد التسليم]],"في الموعد","متأخر"))</f>
        <v>في الموعد</v>
      </c>
      <c r="W65" t="s">
        <v>199</v>
      </c>
      <c r="X65" s="82" t="s">
        <v>198</v>
      </c>
    </row>
    <row r="66" spans="1:24" x14ac:dyDescent="0.25">
      <c r="A66" s="82" t="s">
        <v>183</v>
      </c>
      <c r="B66" s="82" t="s">
        <v>346</v>
      </c>
      <c r="C66" t="s">
        <v>184</v>
      </c>
      <c r="D66" s="82" t="s">
        <v>343</v>
      </c>
      <c r="E66" s="82" t="s">
        <v>8</v>
      </c>
      <c r="F66" s="82" t="s">
        <v>150</v>
      </c>
      <c r="G66" s="82" t="s">
        <v>165</v>
      </c>
      <c r="H66" t="s">
        <v>154</v>
      </c>
      <c r="I66" t="s">
        <v>352</v>
      </c>
      <c r="J66" s="82">
        <v>80</v>
      </c>
      <c r="M66">
        <v>1</v>
      </c>
      <c r="O66" s="85">
        <v>10999</v>
      </c>
      <c r="P66" s="85">
        <f>MISUO[[#This Row],[سعر البيع ]]</f>
        <v>10999</v>
      </c>
      <c r="Q66" s="85">
        <f>IF(MISUO[[#This Row],[الحالة]]="تم التسليم",MISUO[[#This Row],[إجمالي البيع]],IF(MISUO[[#This Row],[الحالة]]="مرتجع",-MISUO[[#This Row],[إجمالي البيع]],0))</f>
        <v>10999</v>
      </c>
      <c r="R66" s="88" t="s">
        <v>115</v>
      </c>
      <c r="S66" s="89">
        <v>45550</v>
      </c>
      <c r="T66" s="89">
        <v>45616</v>
      </c>
      <c r="U66" s="89">
        <v>45581</v>
      </c>
      <c r="V66" s="89" t="str">
        <f>IF(OR(MISUO[[#This Row],[الحالة]]="مرفوض",MISUO[[#This Row],[الحالة]]="مرتجع"),"لم يتم",
IF(MISUO[[#This Row],[تاريخ التسليم]]&lt;=MISUO[[#This Row],[ميعاد التسليم]],"في الموعد","متأخر"))</f>
        <v>في الموعد</v>
      </c>
      <c r="W66" t="s">
        <v>199</v>
      </c>
      <c r="X66" s="82" t="s">
        <v>198</v>
      </c>
    </row>
    <row r="67" spans="1:24" x14ac:dyDescent="0.25">
      <c r="A67" s="82" t="s">
        <v>183</v>
      </c>
      <c r="B67" s="82" t="s">
        <v>346</v>
      </c>
      <c r="C67" t="s">
        <v>184</v>
      </c>
      <c r="D67" s="82" t="s">
        <v>343</v>
      </c>
      <c r="E67" s="82" t="s">
        <v>8</v>
      </c>
      <c r="F67" s="82" t="s">
        <v>150</v>
      </c>
      <c r="G67" s="82" t="s">
        <v>165</v>
      </c>
      <c r="H67" t="s">
        <v>154</v>
      </c>
      <c r="I67" t="s">
        <v>352</v>
      </c>
      <c r="J67" s="82">
        <v>80</v>
      </c>
      <c r="M67">
        <v>1</v>
      </c>
      <c r="O67" s="85">
        <v>10999</v>
      </c>
      <c r="P67" s="85">
        <f>MISUO[[#This Row],[سعر البيع ]]</f>
        <v>10999</v>
      </c>
      <c r="Q67" s="85">
        <f>IF(MISUO[[#This Row],[الحالة]]="تم التسليم",MISUO[[#This Row],[إجمالي البيع]],IF(MISUO[[#This Row],[الحالة]]="مرتجع",-MISUO[[#This Row],[إجمالي البيع]],0))</f>
        <v>10999</v>
      </c>
      <c r="R67" s="88" t="s">
        <v>115</v>
      </c>
      <c r="S67" s="89">
        <v>45550</v>
      </c>
      <c r="T67" s="89">
        <v>45616</v>
      </c>
      <c r="U67" s="89">
        <v>45581</v>
      </c>
      <c r="V67" s="89" t="str">
        <f>IF(OR(MISUO[[#This Row],[الحالة]]="مرفوض",MISUO[[#This Row],[الحالة]]="مرتجع"),"لم يتم",
IF(MISUO[[#This Row],[تاريخ التسليم]]&lt;=MISUO[[#This Row],[ميعاد التسليم]],"في الموعد","متأخر"))</f>
        <v>في الموعد</v>
      </c>
      <c r="W67" t="s">
        <v>199</v>
      </c>
      <c r="X67" s="82" t="s">
        <v>198</v>
      </c>
    </row>
    <row r="68" spans="1:24" x14ac:dyDescent="0.25">
      <c r="A68" s="82" t="s">
        <v>185</v>
      </c>
      <c r="B68" s="82" t="s">
        <v>346</v>
      </c>
      <c r="C68" t="s">
        <v>186</v>
      </c>
      <c r="D68" s="82" t="s">
        <v>343</v>
      </c>
      <c r="E68" s="82" t="s">
        <v>8</v>
      </c>
      <c r="F68" s="82" t="s">
        <v>166</v>
      </c>
      <c r="G68" s="82" t="s">
        <v>206</v>
      </c>
      <c r="H68" t="s">
        <v>258</v>
      </c>
      <c r="I68" t="s">
        <v>354</v>
      </c>
      <c r="M68">
        <v>1</v>
      </c>
      <c r="O68" s="85">
        <v>21999</v>
      </c>
      <c r="P68" s="85">
        <f>MISUO[[#This Row],[سعر البيع ]]</f>
        <v>21999</v>
      </c>
      <c r="Q68" s="85">
        <f>IF(MISUO[[#This Row],[الحالة]]="تم التسليم",MISUO[[#This Row],[إجمالي البيع]],IF(MISUO[[#This Row],[الحالة]]="مرتجع",-MISUO[[#This Row],[إجمالي البيع]],0))</f>
        <v>21999</v>
      </c>
      <c r="R68" s="82" t="s">
        <v>115</v>
      </c>
      <c r="S68" s="89">
        <v>45550</v>
      </c>
      <c r="T68" s="89">
        <v>45616</v>
      </c>
      <c r="U68" s="89">
        <v>45584</v>
      </c>
      <c r="V68" s="89" t="str">
        <f>IF(OR(MISUO[[#This Row],[الحالة]]="مرفوض",MISUO[[#This Row],[الحالة]]="مرتجع"),"لم يتم",
IF(MISUO[[#This Row],[تاريخ التسليم]]&lt;=MISUO[[#This Row],[ميعاد التسليم]],"في الموعد","متأخر"))</f>
        <v>في الموعد</v>
      </c>
      <c r="W68" t="s">
        <v>199</v>
      </c>
      <c r="X68" s="82" t="s">
        <v>198</v>
      </c>
    </row>
    <row r="69" spans="1:24" x14ac:dyDescent="0.25">
      <c r="A69" s="82" t="s">
        <v>196</v>
      </c>
      <c r="B69" s="82" t="s">
        <v>346</v>
      </c>
      <c r="C69" t="s">
        <v>144</v>
      </c>
      <c r="D69" s="82" t="s">
        <v>212</v>
      </c>
      <c r="E69" s="82" t="s">
        <v>8</v>
      </c>
      <c r="F69" s="82" t="s">
        <v>292</v>
      </c>
      <c r="G69" s="82" t="s">
        <v>187</v>
      </c>
      <c r="M69">
        <v>1</v>
      </c>
      <c r="O69" s="85">
        <v>7849</v>
      </c>
      <c r="P69" s="85">
        <f>MISUO[[#This Row],[سعر البيع ]]</f>
        <v>7849</v>
      </c>
      <c r="Q69" s="85">
        <f>IF(MISUO[[#This Row],[الحالة]]="تم التسليم",MISUO[[#This Row],[إجمالي البيع]],IF(MISUO[[#This Row],[الحالة]]="مرتجع",-MISUO[[#This Row],[إجمالي البيع]],0))</f>
        <v>7849</v>
      </c>
      <c r="R69" s="88" t="s">
        <v>336</v>
      </c>
      <c r="S69" s="89">
        <v>45551</v>
      </c>
      <c r="T69" s="89">
        <v>45595</v>
      </c>
      <c r="U69" s="89">
        <v>45610</v>
      </c>
      <c r="V69" s="89" t="str">
        <f>IF(OR(MISUO[[#This Row],[الحالة]]="مرفوض",MISUO[[#This Row],[الحالة]]="مرتجع"),"لم يتم",
IF(MISUO[[#This Row],[تاريخ التسليم]]&lt;=MISUO[[#This Row],[ميعاد التسليم]],"في الموعد","متأخر"))</f>
        <v>متأخر</v>
      </c>
      <c r="W69" t="s">
        <v>28</v>
      </c>
      <c r="X69" s="82" t="s">
        <v>198</v>
      </c>
    </row>
    <row r="70" spans="1:24" x14ac:dyDescent="0.25">
      <c r="A70" s="82" t="s">
        <v>83</v>
      </c>
      <c r="B70" s="82" t="s">
        <v>347</v>
      </c>
      <c r="C70" t="s">
        <v>200</v>
      </c>
      <c r="D70" s="82" t="s">
        <v>339</v>
      </c>
      <c r="E70" s="82" t="s">
        <v>56</v>
      </c>
      <c r="F70" s="82" t="s">
        <v>150</v>
      </c>
      <c r="G70" s="82" t="s">
        <v>165</v>
      </c>
      <c r="H70" t="s">
        <v>154</v>
      </c>
      <c r="I70" t="s">
        <v>352</v>
      </c>
      <c r="J70" s="82">
        <v>80</v>
      </c>
      <c r="M70">
        <v>1</v>
      </c>
      <c r="O70" s="85">
        <v>5074</v>
      </c>
      <c r="P70" s="85">
        <f>MISUO[[#This Row],[سعر البيع ]]</f>
        <v>5074</v>
      </c>
      <c r="Q70" s="85">
        <f>IF(MISUO[[#This Row],[الحالة]]="تم التسليم",MISUO[[#This Row],[إجمالي البيع]],IF(MISUO[[#This Row],[الحالة]]="مرتجع",-MISUO[[#This Row],[إجمالي البيع]],0))</f>
        <v>5074</v>
      </c>
      <c r="R70" s="88" t="s">
        <v>85</v>
      </c>
      <c r="S70" s="89">
        <v>45556</v>
      </c>
      <c r="T70" s="89">
        <v>45570</v>
      </c>
      <c r="U70" s="89">
        <v>45577</v>
      </c>
      <c r="V70" s="89" t="str">
        <f>IF(OR(MISUO[[#This Row],[الحالة]]="مرفوض",MISUO[[#This Row],[الحالة]]="مرتجع"),"لم يتم",
IF(MISUO[[#This Row],[تاريخ التسليم]]&lt;=MISUO[[#This Row],[ميعاد التسليم]],"في الموعد","متأخر"))</f>
        <v>متأخر</v>
      </c>
      <c r="W70" t="s">
        <v>199</v>
      </c>
      <c r="X70" s="82" t="s">
        <v>198</v>
      </c>
    </row>
    <row r="71" spans="1:24" x14ac:dyDescent="0.25">
      <c r="A71" s="82" t="s">
        <v>41</v>
      </c>
      <c r="B71" s="82" t="s">
        <v>347</v>
      </c>
      <c r="C71" t="s">
        <v>42</v>
      </c>
      <c r="D71" s="82" t="s">
        <v>343</v>
      </c>
      <c r="E71" s="82" t="s">
        <v>43</v>
      </c>
      <c r="F71" s="82" t="s">
        <v>150</v>
      </c>
      <c r="G71" s="82" t="s">
        <v>165</v>
      </c>
      <c r="H71" t="s">
        <v>154</v>
      </c>
      <c r="I71" t="s">
        <v>201</v>
      </c>
      <c r="J71" s="82">
        <v>100</v>
      </c>
      <c r="M71">
        <v>1</v>
      </c>
      <c r="O71" s="85">
        <v>6250</v>
      </c>
      <c r="P71" s="85">
        <f>MISUO[[#This Row],[سعر البيع ]]</f>
        <v>6250</v>
      </c>
      <c r="Q71" s="85">
        <f>IF(MISUO[[#This Row],[الحالة]]="تم التسليم",MISUO[[#This Row],[إجمالي البيع]],IF(MISUO[[#This Row],[الحالة]]="مرتجع",-MISUO[[#This Row],[إجمالي البيع]],0))</f>
        <v>6250</v>
      </c>
      <c r="R71" s="88" t="s">
        <v>85</v>
      </c>
      <c r="S71" s="89">
        <v>45558</v>
      </c>
      <c r="T71" s="89">
        <v>45573</v>
      </c>
      <c r="U71" s="89">
        <v>45582</v>
      </c>
      <c r="V71" s="89" t="str">
        <f>IF(OR(MISUO[[#This Row],[الحالة]]="مرفوض",MISUO[[#This Row],[الحالة]]="مرتجع"),"لم يتم",
IF(MISUO[[#This Row],[تاريخ التسليم]]&lt;=MISUO[[#This Row],[ميعاد التسليم]],"في الموعد","متأخر"))</f>
        <v>متأخر</v>
      </c>
      <c r="W71" t="s">
        <v>199</v>
      </c>
      <c r="X71" s="82" t="s">
        <v>198</v>
      </c>
    </row>
    <row r="72" spans="1:24" x14ac:dyDescent="0.25">
      <c r="A72" s="82" t="s">
        <v>41</v>
      </c>
      <c r="B72" s="82" t="s">
        <v>347</v>
      </c>
      <c r="C72" t="s">
        <v>42</v>
      </c>
      <c r="D72" s="82" t="s">
        <v>343</v>
      </c>
      <c r="E72" s="82" t="s">
        <v>43</v>
      </c>
      <c r="F72" s="82" t="s">
        <v>150</v>
      </c>
      <c r="G72" s="82" t="s">
        <v>165</v>
      </c>
      <c r="H72" t="s">
        <v>154</v>
      </c>
      <c r="I72" t="s">
        <v>201</v>
      </c>
      <c r="J72" s="82">
        <v>100</v>
      </c>
      <c r="M72">
        <v>1</v>
      </c>
      <c r="O72" s="85">
        <v>6250</v>
      </c>
      <c r="P72" s="85">
        <f>MISUO[[#This Row],[سعر البيع ]]</f>
        <v>6250</v>
      </c>
      <c r="Q72" s="85">
        <f>IF(MISUO[[#This Row],[الحالة]]="تم التسليم",MISUO[[#This Row],[إجمالي البيع]],IF(MISUO[[#This Row],[الحالة]]="مرتجع",-MISUO[[#This Row],[إجمالي البيع]],0))</f>
        <v>6250</v>
      </c>
      <c r="R72" s="88" t="s">
        <v>85</v>
      </c>
      <c r="S72" s="89">
        <v>45558</v>
      </c>
      <c r="T72" s="89">
        <v>45573</v>
      </c>
      <c r="U72" s="89">
        <v>45582</v>
      </c>
      <c r="V72" s="89" t="str">
        <f>IF(OR(MISUO[[#This Row],[الحالة]]="مرفوض",MISUO[[#This Row],[الحالة]]="مرتجع"),"لم يتم",
IF(MISUO[[#This Row],[تاريخ التسليم]]&lt;=MISUO[[#This Row],[ميعاد التسليم]],"في الموعد","متأخر"))</f>
        <v>متأخر</v>
      </c>
      <c r="W72" t="s">
        <v>199</v>
      </c>
      <c r="X72" s="82" t="s">
        <v>198</v>
      </c>
    </row>
    <row r="73" spans="1:24" x14ac:dyDescent="0.25">
      <c r="A73" s="82" t="s">
        <v>202</v>
      </c>
      <c r="B73" s="82" t="s">
        <v>346</v>
      </c>
      <c r="C73" t="s">
        <v>42</v>
      </c>
      <c r="D73" s="82" t="s">
        <v>343</v>
      </c>
      <c r="E73" s="82" t="s">
        <v>8</v>
      </c>
      <c r="F73" s="82" t="s">
        <v>150</v>
      </c>
      <c r="G73" s="82" t="s">
        <v>153</v>
      </c>
      <c r="H73" t="s">
        <v>177</v>
      </c>
      <c r="I73" t="s">
        <v>352</v>
      </c>
      <c r="J73" s="82">
        <v>120</v>
      </c>
      <c r="M73">
        <v>1</v>
      </c>
      <c r="O73" s="85">
        <v>8943</v>
      </c>
      <c r="P73" s="85">
        <f>MISUO[[#This Row],[سعر البيع ]]</f>
        <v>8943</v>
      </c>
      <c r="Q73" s="85">
        <f>IF(MISUO[[#This Row],[الحالة]]="تم التسليم",MISUO[[#This Row],[إجمالي البيع]],IF(MISUO[[#This Row],[الحالة]]="مرتجع",-MISUO[[#This Row],[إجمالي البيع]],0))</f>
        <v>8943</v>
      </c>
      <c r="R73" s="88" t="s">
        <v>336</v>
      </c>
      <c r="S73" s="89">
        <v>45561</v>
      </c>
      <c r="T73" s="89">
        <v>45606</v>
      </c>
      <c r="U73" s="89">
        <v>45575</v>
      </c>
      <c r="V73" s="89" t="str">
        <f>IF(OR(MISUO[[#This Row],[الحالة]]="مرفوض",MISUO[[#This Row],[الحالة]]="مرتجع"),"لم يتم",
IF(MISUO[[#This Row],[تاريخ التسليم]]&lt;=MISUO[[#This Row],[ميعاد التسليم]],"في الموعد","متأخر"))</f>
        <v>في الموعد</v>
      </c>
      <c r="W73" t="s">
        <v>199</v>
      </c>
      <c r="X73" s="82" t="s">
        <v>198</v>
      </c>
    </row>
    <row r="74" spans="1:24" hidden="1" x14ac:dyDescent="0.25">
      <c r="A74" s="82" t="s">
        <v>203</v>
      </c>
      <c r="B74" s="82" t="s">
        <v>346</v>
      </c>
      <c r="C74" t="s">
        <v>204</v>
      </c>
      <c r="D74" s="82" t="s">
        <v>339</v>
      </c>
      <c r="E74" s="82" t="s">
        <v>8</v>
      </c>
      <c r="F74" s="82" t="s">
        <v>292</v>
      </c>
      <c r="G74" s="82" t="s">
        <v>189</v>
      </c>
      <c r="O74" s="85">
        <v>8349</v>
      </c>
      <c r="P74" s="85">
        <f>MISUO[[#This Row],[سعر البيع ]]</f>
        <v>8349</v>
      </c>
      <c r="Q74" s="85">
        <f>IF(MISUO[[#This Row],[الحالة]]="تم التسليم",MISUO[[#This Row],[إجمالي البيع]],IF(MISUO[[#This Row],[الحالة]]="مرتجع",-MISUO[[#This Row],[إجمالي البيع]],0))</f>
        <v>0</v>
      </c>
      <c r="R74" s="88" t="s">
        <v>336</v>
      </c>
      <c r="S74" s="89">
        <v>45561</v>
      </c>
      <c r="T74" s="89">
        <v>45606</v>
      </c>
      <c r="V74" s="89" t="str">
        <f>IF(OR(MISUO[[#This Row],[الحالة]]="مرفوض",MISUO[[#This Row],[الحالة]]="مرتجع"),"لم يتم",
IF(MISUO[[#This Row],[تاريخ التسليم]]&lt;=MISUO[[#This Row],[ميعاد التسليم]],"في الموعد","متأخر"))</f>
        <v>لم يتم</v>
      </c>
      <c r="X74" s="82" t="s">
        <v>333</v>
      </c>
    </row>
    <row r="75" spans="1:24" x14ac:dyDescent="0.25">
      <c r="A75" s="82" t="s">
        <v>31</v>
      </c>
      <c r="B75" s="82" t="s">
        <v>347</v>
      </c>
      <c r="C75" t="s">
        <v>230</v>
      </c>
      <c r="D75" s="82" t="s">
        <v>343</v>
      </c>
      <c r="E75" s="82" t="s">
        <v>52</v>
      </c>
      <c r="F75" s="82" t="s">
        <v>166</v>
      </c>
      <c r="G75" s="82" t="s">
        <v>206</v>
      </c>
      <c r="H75" t="s">
        <v>258</v>
      </c>
      <c r="I75" t="s">
        <v>354</v>
      </c>
      <c r="M75">
        <v>1</v>
      </c>
      <c r="O75" s="85">
        <v>14950</v>
      </c>
      <c r="P75" s="85">
        <f>MISUO[[#This Row],[سعر البيع ]]</f>
        <v>14950</v>
      </c>
      <c r="Q75" s="85">
        <f>IF(MISUO[[#This Row],[الحالة]]="تم التسليم",MISUO[[#This Row],[إجمالي البيع]],IF(MISUO[[#This Row],[الحالة]]="مرتجع",-MISUO[[#This Row],[إجمالي البيع]],0))</f>
        <v>14950</v>
      </c>
      <c r="R75" s="82" t="s">
        <v>16</v>
      </c>
      <c r="S75" s="89">
        <v>45561</v>
      </c>
      <c r="T75" s="89">
        <v>45579</v>
      </c>
      <c r="U75" s="89">
        <v>45578</v>
      </c>
      <c r="V75" s="89" t="str">
        <f>IF(OR(MISUO[[#This Row],[الحالة]]="مرفوض",MISUO[[#This Row],[الحالة]]="مرتجع"),"لم يتم",
IF(MISUO[[#This Row],[تاريخ التسليم]]&lt;=MISUO[[#This Row],[ميعاد التسليم]],"في الموعد","متأخر"))</f>
        <v>في الموعد</v>
      </c>
      <c r="W75" t="s">
        <v>199</v>
      </c>
      <c r="X75" s="82" t="s">
        <v>198</v>
      </c>
    </row>
    <row r="76" spans="1:24" hidden="1" x14ac:dyDescent="0.25">
      <c r="A76" s="82" t="s">
        <v>31</v>
      </c>
      <c r="B76" s="82" t="s">
        <v>347</v>
      </c>
      <c r="D76" s="82"/>
      <c r="E76" s="82" t="s">
        <v>52</v>
      </c>
      <c r="F76" s="82" t="s">
        <v>150</v>
      </c>
      <c r="G76" s="82" t="s">
        <v>165</v>
      </c>
      <c r="H76" t="s">
        <v>154</v>
      </c>
      <c r="I76" t="s">
        <v>354</v>
      </c>
      <c r="J76" s="82">
        <v>100</v>
      </c>
      <c r="M76">
        <v>1</v>
      </c>
      <c r="O76" s="85">
        <v>9208</v>
      </c>
      <c r="P76" s="85">
        <f>MISUO[[#This Row],[سعر البيع ]]</f>
        <v>9208</v>
      </c>
      <c r="Q76" s="85">
        <f>IF(MISUO[[#This Row],[الحالة]]="تم التسليم",MISUO[[#This Row],[إجمالي البيع]],IF(MISUO[[#This Row],[الحالة]]="مرتجع",-MISUO[[#This Row],[إجمالي البيع]],0))</f>
        <v>0</v>
      </c>
      <c r="R76" s="88" t="s">
        <v>336</v>
      </c>
      <c r="S76" s="89">
        <v>45561</v>
      </c>
      <c r="T76" s="89">
        <v>45579</v>
      </c>
      <c r="V76" s="89" t="str">
        <f>IF(OR(MISUO[[#This Row],[الحالة]]="مرفوض",MISUO[[#This Row],[الحالة]]="مرتجع"),"لم يتم",
IF(MISUO[[#This Row],[تاريخ التسليم]]&lt;=MISUO[[#This Row],[ميعاد التسليم]],"في الموعد","متأخر"))</f>
        <v>لم يتم</v>
      </c>
      <c r="X76" s="82" t="s">
        <v>333</v>
      </c>
    </row>
    <row r="77" spans="1:24" x14ac:dyDescent="0.25">
      <c r="A77" s="82" t="s">
        <v>31</v>
      </c>
      <c r="B77" s="82" t="s">
        <v>347</v>
      </c>
      <c r="D77" s="82"/>
      <c r="E77" s="82" t="s">
        <v>52</v>
      </c>
      <c r="F77" s="82" t="s">
        <v>150</v>
      </c>
      <c r="G77" s="82" t="s">
        <v>153</v>
      </c>
      <c r="H77" t="s">
        <v>156</v>
      </c>
      <c r="I77" t="s">
        <v>352</v>
      </c>
      <c r="J77" s="82">
        <v>120</v>
      </c>
      <c r="M77">
        <v>1</v>
      </c>
      <c r="O77" s="85">
        <v>7433</v>
      </c>
      <c r="P77" s="85">
        <f>MISUO[[#This Row],[سعر البيع ]]</f>
        <v>7433</v>
      </c>
      <c r="Q77" s="85">
        <f>IF(MISUO[[#This Row],[الحالة]]="تم التسليم",MISUO[[#This Row],[إجمالي البيع]],IF(MISUO[[#This Row],[الحالة]]="مرتجع",-MISUO[[#This Row],[إجمالي البيع]],0))</f>
        <v>7433</v>
      </c>
      <c r="R77" s="88" t="s">
        <v>115</v>
      </c>
      <c r="S77" s="89">
        <v>45564</v>
      </c>
      <c r="T77" s="89">
        <v>45585</v>
      </c>
      <c r="U77" s="89">
        <v>45586</v>
      </c>
      <c r="V77" s="89" t="str">
        <f>IF(OR(MISUO[[#This Row],[الحالة]]="مرفوض",MISUO[[#This Row],[الحالة]]="مرتجع"),"لم يتم",
IF(MISUO[[#This Row],[تاريخ التسليم]]&lt;=MISUO[[#This Row],[ميعاد التسليم]],"في الموعد","متأخر"))</f>
        <v>متأخر</v>
      </c>
      <c r="W77" t="s">
        <v>199</v>
      </c>
      <c r="X77" s="82" t="s">
        <v>198</v>
      </c>
    </row>
    <row r="78" spans="1:24" x14ac:dyDescent="0.25">
      <c r="A78" s="82" t="s">
        <v>83</v>
      </c>
      <c r="B78" s="82" t="s">
        <v>347</v>
      </c>
      <c r="C78" t="s">
        <v>200</v>
      </c>
      <c r="D78" s="82" t="s">
        <v>339</v>
      </c>
      <c r="E78" s="82" t="s">
        <v>56</v>
      </c>
      <c r="F78" s="82" t="s">
        <v>150</v>
      </c>
      <c r="G78" s="82" t="s">
        <v>153</v>
      </c>
      <c r="H78" t="s">
        <v>177</v>
      </c>
      <c r="I78" t="s">
        <v>352</v>
      </c>
      <c r="J78" s="82">
        <v>120</v>
      </c>
      <c r="M78">
        <v>1</v>
      </c>
      <c r="O78" s="85">
        <v>4020</v>
      </c>
      <c r="P78" s="85">
        <f>MISUO[[#This Row],[سعر البيع ]]</f>
        <v>4020</v>
      </c>
      <c r="Q78" s="85">
        <f>IF(MISUO[[#This Row],[الحالة]]="تم التسليم",MISUO[[#This Row],[إجمالي البيع]],IF(MISUO[[#This Row],[الحالة]]="مرتجع",-MISUO[[#This Row],[إجمالي البيع]],0))</f>
        <v>4020</v>
      </c>
      <c r="R78" s="88" t="s">
        <v>85</v>
      </c>
      <c r="S78" s="89">
        <v>45564</v>
      </c>
      <c r="T78" s="89">
        <v>45577</v>
      </c>
      <c r="U78" s="89">
        <v>45577</v>
      </c>
      <c r="V78" s="89" t="str">
        <f>IF(OR(MISUO[[#This Row],[الحالة]]="مرفوض",MISUO[[#This Row],[الحالة]]="مرتجع"),"لم يتم",
IF(MISUO[[#This Row],[تاريخ التسليم]]&lt;=MISUO[[#This Row],[ميعاد التسليم]],"في الموعد","متأخر"))</f>
        <v>في الموعد</v>
      </c>
      <c r="W78" t="s">
        <v>199</v>
      </c>
      <c r="X78" s="82" t="s">
        <v>198</v>
      </c>
    </row>
    <row r="79" spans="1:24" x14ac:dyDescent="0.25">
      <c r="A79" s="82" t="s">
        <v>210</v>
      </c>
      <c r="B79" s="82" t="s">
        <v>346</v>
      </c>
      <c r="C79" t="s">
        <v>211</v>
      </c>
      <c r="D79" s="82" t="s">
        <v>212</v>
      </c>
      <c r="E79" s="82" t="s">
        <v>212</v>
      </c>
      <c r="F79" s="82" t="s">
        <v>150</v>
      </c>
      <c r="G79" s="82" t="s">
        <v>165</v>
      </c>
      <c r="H79" t="s">
        <v>213</v>
      </c>
      <c r="I79" t="s">
        <v>214</v>
      </c>
      <c r="J79" s="82">
        <v>100</v>
      </c>
      <c r="M79">
        <v>1</v>
      </c>
      <c r="O79" s="85">
        <v>8544.9054400000005</v>
      </c>
      <c r="P79" s="85">
        <f>MISUO[[#This Row],[سعر البيع ]]</f>
        <v>8544.9054400000005</v>
      </c>
      <c r="Q79" s="85">
        <f>IF(MISUO[[#This Row],[الحالة]]="تم التسليم",MISUO[[#This Row],[إجمالي البيع]],IF(MISUO[[#This Row],[الحالة]]="مرتجع",-MISUO[[#This Row],[إجمالي البيع]],0))</f>
        <v>8544.9054400000005</v>
      </c>
      <c r="R79" s="88"/>
      <c r="S79" s="89">
        <v>45566</v>
      </c>
      <c r="T79" s="89">
        <v>45574</v>
      </c>
      <c r="U79" s="89">
        <v>45574</v>
      </c>
      <c r="V79" s="89" t="str">
        <f>IF(OR(MISUO[[#This Row],[الحالة]]="مرفوض",MISUO[[#This Row],[الحالة]]="مرتجع"),"لم يتم",
IF(MISUO[[#This Row],[تاريخ التسليم]]&lt;=MISUO[[#This Row],[ميعاد التسليم]],"في الموعد","متأخر"))</f>
        <v>في الموعد</v>
      </c>
      <c r="W79" t="s">
        <v>227</v>
      </c>
      <c r="X79" s="82" t="s">
        <v>198</v>
      </c>
    </row>
    <row r="80" spans="1:24" x14ac:dyDescent="0.25">
      <c r="A80" s="82" t="s">
        <v>210</v>
      </c>
      <c r="B80" s="82" t="s">
        <v>346</v>
      </c>
      <c r="C80" t="s">
        <v>211</v>
      </c>
      <c r="D80" s="82" t="s">
        <v>212</v>
      </c>
      <c r="E80" s="82" t="s">
        <v>212</v>
      </c>
      <c r="F80" s="82" t="s">
        <v>150</v>
      </c>
      <c r="G80" s="82" t="s">
        <v>151</v>
      </c>
      <c r="I80" t="s">
        <v>354</v>
      </c>
      <c r="M80">
        <v>1</v>
      </c>
      <c r="O80" s="85">
        <v>4600</v>
      </c>
      <c r="P80" s="85">
        <f>MISUO[[#This Row],[سعر البيع ]]</f>
        <v>4600</v>
      </c>
      <c r="Q80" s="85">
        <f>IF(MISUO[[#This Row],[الحالة]]="تم التسليم",MISUO[[#This Row],[إجمالي البيع]],IF(MISUO[[#This Row],[الحالة]]="مرتجع",-MISUO[[#This Row],[إجمالي البيع]],0))</f>
        <v>4600</v>
      </c>
      <c r="R80" s="88"/>
      <c r="S80" s="89">
        <v>45566</v>
      </c>
      <c r="T80" s="89">
        <v>45574</v>
      </c>
      <c r="U80" s="89">
        <v>45574</v>
      </c>
      <c r="V80" s="89" t="str">
        <f>IF(OR(MISUO[[#This Row],[الحالة]]="مرفوض",MISUO[[#This Row],[الحالة]]="مرتجع"),"لم يتم",
IF(MISUO[[#This Row],[تاريخ التسليم]]&lt;=MISUO[[#This Row],[ميعاد التسليم]],"في الموعد","متأخر"))</f>
        <v>في الموعد</v>
      </c>
      <c r="W80" t="s">
        <v>227</v>
      </c>
      <c r="X80" s="82" t="s">
        <v>198</v>
      </c>
    </row>
    <row r="81" spans="1:24" x14ac:dyDescent="0.25">
      <c r="A81" s="82" t="s">
        <v>210</v>
      </c>
      <c r="B81" s="82" t="s">
        <v>346</v>
      </c>
      <c r="C81" t="s">
        <v>211</v>
      </c>
      <c r="D81" s="82" t="s">
        <v>212</v>
      </c>
      <c r="E81" s="82" t="s">
        <v>212</v>
      </c>
      <c r="F81" s="82" t="s">
        <v>166</v>
      </c>
      <c r="G81" s="82" t="s">
        <v>215</v>
      </c>
      <c r="I81" t="s">
        <v>354</v>
      </c>
      <c r="M81">
        <v>1</v>
      </c>
      <c r="O81" s="85">
        <v>10000</v>
      </c>
      <c r="P81" s="85">
        <f>MISUO[[#This Row],[سعر البيع ]]</f>
        <v>10000</v>
      </c>
      <c r="Q81" s="85">
        <f>IF(MISUO[[#This Row],[الحالة]]="تم التسليم",MISUO[[#This Row],[إجمالي البيع]],IF(MISUO[[#This Row],[الحالة]]="مرتجع",-MISUO[[#This Row],[إجمالي البيع]],0))</f>
        <v>10000</v>
      </c>
      <c r="S81" s="89">
        <v>45566</v>
      </c>
      <c r="T81" s="89">
        <v>45574</v>
      </c>
      <c r="U81" s="89">
        <v>45574</v>
      </c>
      <c r="V81" s="89" t="str">
        <f>IF(OR(MISUO[[#This Row],[الحالة]]="مرفوض",MISUO[[#This Row],[الحالة]]="مرتجع"),"لم يتم",
IF(MISUO[[#This Row],[تاريخ التسليم]]&lt;=MISUO[[#This Row],[ميعاد التسليم]],"في الموعد","متأخر"))</f>
        <v>في الموعد</v>
      </c>
      <c r="W81" t="s">
        <v>227</v>
      </c>
      <c r="X81" s="82" t="s">
        <v>198</v>
      </c>
    </row>
    <row r="82" spans="1:24" x14ac:dyDescent="0.25">
      <c r="A82" s="82" t="s">
        <v>210</v>
      </c>
      <c r="B82" s="82" t="s">
        <v>346</v>
      </c>
      <c r="C82" t="s">
        <v>211</v>
      </c>
      <c r="D82" s="82" t="s">
        <v>212</v>
      </c>
      <c r="E82" s="82" t="s">
        <v>212</v>
      </c>
      <c r="F82" s="82" t="s">
        <v>219</v>
      </c>
      <c r="I82" t="s">
        <v>354</v>
      </c>
      <c r="O82" s="85"/>
      <c r="P82" s="85">
        <f>MISUO[[#This Row],[سعر البيع ]]</f>
        <v>0</v>
      </c>
      <c r="Q82" s="85">
        <f>IF(MISUO[[#This Row],[الحالة]]="تم التسليم",MISUO[[#This Row],[إجمالي البيع]],IF(MISUO[[#This Row],[الحالة]]="مرتجع",-MISUO[[#This Row],[إجمالي البيع]],0))</f>
        <v>0</v>
      </c>
      <c r="S82" s="89">
        <v>45566</v>
      </c>
      <c r="T82" s="89">
        <v>45574</v>
      </c>
      <c r="U82" s="89">
        <v>45574</v>
      </c>
      <c r="V82" s="89" t="str">
        <f>IF(OR(MISUO[[#This Row],[الحالة]]="مرفوض",MISUO[[#This Row],[الحالة]]="مرتجع"),"لم يتم",
IF(MISUO[[#This Row],[تاريخ التسليم]]&lt;=MISUO[[#This Row],[ميعاد التسليم]],"في الموعد","متأخر"))</f>
        <v>في الموعد</v>
      </c>
      <c r="W82" t="s">
        <v>227</v>
      </c>
      <c r="X82" s="82" t="s">
        <v>198</v>
      </c>
    </row>
    <row r="83" spans="1:24" hidden="1" x14ac:dyDescent="0.25">
      <c r="A83" s="82" t="s">
        <v>221</v>
      </c>
      <c r="B83" s="82" t="s">
        <v>346</v>
      </c>
      <c r="C83" t="s">
        <v>222</v>
      </c>
      <c r="D83" s="82" t="s">
        <v>343</v>
      </c>
      <c r="E83" s="82" t="s">
        <v>8</v>
      </c>
      <c r="F83" s="82" t="s">
        <v>150</v>
      </c>
      <c r="G83" s="82" t="s">
        <v>151</v>
      </c>
      <c r="I83" t="s">
        <v>354</v>
      </c>
      <c r="O83" s="85">
        <v>8899</v>
      </c>
      <c r="P83" s="85">
        <f>MISUO[[#This Row],[سعر البيع ]]</f>
        <v>8899</v>
      </c>
      <c r="Q83" s="85">
        <f>IF(MISUO[[#This Row],[الحالة]]="تم التسليم",MISUO[[#This Row],[إجمالي البيع]],IF(MISUO[[#This Row],[الحالة]]="مرتجع",-MISUO[[#This Row],[إجمالي البيع]],0))</f>
        <v>0</v>
      </c>
      <c r="R83" s="88" t="s">
        <v>336</v>
      </c>
      <c r="S83" s="89">
        <v>45568</v>
      </c>
      <c r="T83" s="89">
        <v>45613</v>
      </c>
      <c r="V83" s="89" t="str">
        <f>IF(OR(MISUO[[#This Row],[الحالة]]="مرفوض",MISUO[[#This Row],[الحالة]]="مرتجع"),"لم يتم",
IF(MISUO[[#This Row],[تاريخ التسليم]]&lt;=MISUO[[#This Row],[ميعاد التسليم]],"في الموعد","متأخر"))</f>
        <v>لم يتم</v>
      </c>
      <c r="X83" s="82" t="s">
        <v>333</v>
      </c>
    </row>
    <row r="84" spans="1:24" x14ac:dyDescent="0.25">
      <c r="A84" s="82" t="s">
        <v>31</v>
      </c>
      <c r="B84" s="82" t="s">
        <v>347</v>
      </c>
      <c r="C84" t="s">
        <v>224</v>
      </c>
      <c r="D84" s="82"/>
      <c r="E84" s="82" t="s">
        <v>52</v>
      </c>
      <c r="F84" s="82" t="s">
        <v>166</v>
      </c>
      <c r="G84" s="82" t="s">
        <v>206</v>
      </c>
      <c r="H84" t="s">
        <v>258</v>
      </c>
      <c r="I84" t="s">
        <v>354</v>
      </c>
      <c r="M84">
        <v>1</v>
      </c>
      <c r="O84" s="85">
        <v>14550</v>
      </c>
      <c r="P84" s="85">
        <f>MISUO[[#This Row],[سعر البيع ]]</f>
        <v>14550</v>
      </c>
      <c r="Q84" s="85">
        <f>IF(MISUO[[#This Row],[الحالة]]="تم التسليم",MISUO[[#This Row],[إجمالي البيع]],IF(MISUO[[#This Row],[الحالة]]="مرتجع",-MISUO[[#This Row],[إجمالي البيع]],0))</f>
        <v>14550</v>
      </c>
      <c r="R84" s="82" t="s">
        <v>16</v>
      </c>
      <c r="S84" s="89">
        <v>45573</v>
      </c>
      <c r="T84" s="89">
        <v>45594</v>
      </c>
      <c r="U84" s="89">
        <v>45595</v>
      </c>
      <c r="V84" s="89" t="str">
        <f>IF(OR(MISUO[[#This Row],[الحالة]]="مرفوض",MISUO[[#This Row],[الحالة]]="مرتجع"),"لم يتم",
IF(MISUO[[#This Row],[تاريخ التسليم]]&lt;=MISUO[[#This Row],[ميعاد التسليم]],"في الموعد","متأخر"))</f>
        <v>متأخر</v>
      </c>
      <c r="W84" t="s">
        <v>199</v>
      </c>
      <c r="X84" s="82" t="s">
        <v>198</v>
      </c>
    </row>
    <row r="85" spans="1:24" x14ac:dyDescent="0.25">
      <c r="A85" s="82" t="s">
        <v>31</v>
      </c>
      <c r="B85" s="82" t="s">
        <v>347</v>
      </c>
      <c r="C85" t="s">
        <v>229</v>
      </c>
      <c r="D85" s="82" t="s">
        <v>339</v>
      </c>
      <c r="E85" s="82" t="s">
        <v>52</v>
      </c>
      <c r="F85" s="82" t="s">
        <v>166</v>
      </c>
      <c r="G85" s="82" t="s">
        <v>206</v>
      </c>
      <c r="H85" t="s">
        <v>258</v>
      </c>
      <c r="I85" t="s">
        <v>354</v>
      </c>
      <c r="M85">
        <v>1</v>
      </c>
      <c r="O85" s="85">
        <v>14550</v>
      </c>
      <c r="P85" s="85">
        <f>MISUO[[#This Row],[سعر البيع ]]</f>
        <v>14550</v>
      </c>
      <c r="Q85" s="85">
        <f>IF(MISUO[[#This Row],[الحالة]]="تم التسليم",MISUO[[#This Row],[إجمالي البيع]],IF(MISUO[[#This Row],[الحالة]]="مرتجع",-MISUO[[#This Row],[إجمالي البيع]],0))</f>
        <v>14550</v>
      </c>
      <c r="R85" s="82" t="s">
        <v>16</v>
      </c>
      <c r="S85" s="89">
        <v>45572</v>
      </c>
      <c r="T85" s="89">
        <v>45594</v>
      </c>
      <c r="U85" s="89">
        <v>45580</v>
      </c>
      <c r="V85" s="89" t="str">
        <f>IF(OR(MISUO[[#This Row],[الحالة]]="مرفوض",MISUO[[#This Row],[الحالة]]="مرتجع"),"لم يتم",
IF(MISUO[[#This Row],[تاريخ التسليم]]&lt;=MISUO[[#This Row],[ميعاد التسليم]],"في الموعد","متأخر"))</f>
        <v>في الموعد</v>
      </c>
      <c r="W85" t="s">
        <v>199</v>
      </c>
      <c r="X85" s="82" t="s">
        <v>198</v>
      </c>
    </row>
    <row r="86" spans="1:24" x14ac:dyDescent="0.25">
      <c r="A86" s="82" t="s">
        <v>31</v>
      </c>
      <c r="B86" s="82" t="s">
        <v>347</v>
      </c>
      <c r="D86" s="82"/>
      <c r="E86" s="82" t="s">
        <v>52</v>
      </c>
      <c r="F86" s="82" t="s">
        <v>166</v>
      </c>
      <c r="G86" s="82" t="s">
        <v>206</v>
      </c>
      <c r="H86" t="s">
        <v>258</v>
      </c>
      <c r="I86" t="s">
        <v>354</v>
      </c>
      <c r="M86">
        <v>1</v>
      </c>
      <c r="O86" s="85">
        <v>14550</v>
      </c>
      <c r="P86" s="85">
        <f>MISUO[[#This Row],[سعر البيع ]]</f>
        <v>14550</v>
      </c>
      <c r="Q86" s="85">
        <f>IF(MISUO[[#This Row],[الحالة]]="تم التسليم",MISUO[[#This Row],[إجمالي البيع]],IF(MISUO[[#This Row],[الحالة]]="مرتجع",-MISUO[[#This Row],[إجمالي البيع]],0))</f>
        <v>14550</v>
      </c>
      <c r="R86" s="88" t="s">
        <v>336</v>
      </c>
      <c r="S86" s="89">
        <v>45575</v>
      </c>
      <c r="T86" s="89">
        <v>45596</v>
      </c>
      <c r="U86" s="89">
        <v>45598</v>
      </c>
      <c r="V86" s="89" t="str">
        <f>IF(OR(MISUO[[#This Row],[الحالة]]="مرفوض",MISUO[[#This Row],[الحالة]]="مرتجع"),"لم يتم",
IF(MISUO[[#This Row],[تاريخ التسليم]]&lt;=MISUO[[#This Row],[ميعاد التسليم]],"في الموعد","متأخر"))</f>
        <v>متأخر</v>
      </c>
      <c r="W86" t="s">
        <v>199</v>
      </c>
      <c r="X86" s="82" t="s">
        <v>198</v>
      </c>
    </row>
    <row r="87" spans="1:24" x14ac:dyDescent="0.25">
      <c r="A87" s="82" t="s">
        <v>231</v>
      </c>
      <c r="B87" s="82" t="s">
        <v>346</v>
      </c>
      <c r="C87" t="s">
        <v>102</v>
      </c>
      <c r="D87" s="82" t="s">
        <v>343</v>
      </c>
      <c r="E87" s="82" t="s">
        <v>8</v>
      </c>
      <c r="F87" s="82" t="s">
        <v>150</v>
      </c>
      <c r="G87" s="82" t="s">
        <v>165</v>
      </c>
      <c r="H87" t="s">
        <v>232</v>
      </c>
      <c r="I87" t="s">
        <v>234</v>
      </c>
      <c r="J87" s="82" t="s">
        <v>338</v>
      </c>
      <c r="M87">
        <v>1</v>
      </c>
      <c r="O87" s="85">
        <v>12899</v>
      </c>
      <c r="P87" s="85">
        <f>MISUO[[#This Row],[سعر البيع ]]</f>
        <v>12899</v>
      </c>
      <c r="Q87" s="85">
        <f>IF(MISUO[[#This Row],[الحالة]]="تم التسليم",MISUO[[#This Row],[إجمالي البيع]],IF(MISUO[[#This Row],[الحالة]]="مرتجع",-MISUO[[#This Row],[إجمالي البيع]],0))</f>
        <v>12899</v>
      </c>
      <c r="R87" s="88" t="s">
        <v>336</v>
      </c>
      <c r="S87" s="89">
        <v>45578</v>
      </c>
      <c r="T87" s="89">
        <v>45643</v>
      </c>
      <c r="U87" s="89">
        <v>45598</v>
      </c>
      <c r="V87" s="89" t="str">
        <f>IF(OR(MISUO[[#This Row],[الحالة]]="مرفوض",MISUO[[#This Row],[الحالة]]="مرتجع"),"لم يتم",
IF(MISUO[[#This Row],[تاريخ التسليم]]&lt;=MISUO[[#This Row],[ميعاد التسليم]],"في الموعد","متأخر"))</f>
        <v>في الموعد</v>
      </c>
      <c r="W87" t="s">
        <v>199</v>
      </c>
      <c r="X87" s="82" t="s">
        <v>198</v>
      </c>
    </row>
    <row r="88" spans="1:24" x14ac:dyDescent="0.25">
      <c r="A88" s="82" t="s">
        <v>235</v>
      </c>
      <c r="B88" s="82" t="s">
        <v>346</v>
      </c>
      <c r="C88" t="s">
        <v>49</v>
      </c>
      <c r="D88" s="82" t="s">
        <v>343</v>
      </c>
      <c r="E88" s="82" t="s">
        <v>8</v>
      </c>
      <c r="F88" s="82" t="s">
        <v>150</v>
      </c>
      <c r="G88" s="82" t="s">
        <v>165</v>
      </c>
      <c r="H88" t="s">
        <v>154</v>
      </c>
      <c r="I88" t="s">
        <v>352</v>
      </c>
      <c r="J88" s="82">
        <v>80</v>
      </c>
      <c r="M88">
        <v>1</v>
      </c>
      <c r="O88" s="85">
        <v>10499</v>
      </c>
      <c r="P88" s="85">
        <f>MISUO[[#This Row],[سعر البيع ]]</f>
        <v>10499</v>
      </c>
      <c r="Q88" s="85">
        <f>IF(MISUO[[#This Row],[الحالة]]="تم التسليم",MISUO[[#This Row],[إجمالي البيع]],IF(MISUO[[#This Row],[الحالة]]="مرتجع",-MISUO[[#This Row],[إجمالي البيع]],0))</f>
        <v>10499</v>
      </c>
      <c r="R88" s="88" t="s">
        <v>115</v>
      </c>
      <c r="S88" s="89">
        <v>45581</v>
      </c>
      <c r="T88" s="89">
        <v>45645</v>
      </c>
      <c r="U88" s="89">
        <v>45586</v>
      </c>
      <c r="V88" s="89" t="str">
        <f>IF(OR(MISUO[[#This Row],[الحالة]]="مرفوض",MISUO[[#This Row],[الحالة]]="مرتجع"),"لم يتم",
IF(MISUO[[#This Row],[تاريخ التسليم]]&lt;=MISUO[[#This Row],[ميعاد التسليم]],"في الموعد","متأخر"))</f>
        <v>في الموعد</v>
      </c>
      <c r="W88" t="s">
        <v>199</v>
      </c>
      <c r="X88" s="82" t="s">
        <v>198</v>
      </c>
    </row>
    <row r="89" spans="1:24" x14ac:dyDescent="0.25">
      <c r="A89" s="82" t="s">
        <v>237</v>
      </c>
      <c r="B89" s="82" t="s">
        <v>346</v>
      </c>
      <c r="C89" t="s">
        <v>238</v>
      </c>
      <c r="D89" s="82" t="s">
        <v>340</v>
      </c>
      <c r="E89" s="82" t="s">
        <v>8</v>
      </c>
      <c r="F89" s="82" t="s">
        <v>150</v>
      </c>
      <c r="G89" s="82" t="s">
        <v>165</v>
      </c>
      <c r="H89" t="s">
        <v>152</v>
      </c>
      <c r="I89" t="s">
        <v>234</v>
      </c>
      <c r="J89" s="82" t="s">
        <v>338</v>
      </c>
      <c r="M89">
        <v>1</v>
      </c>
      <c r="O89" s="85">
        <v>12899</v>
      </c>
      <c r="P89" s="85">
        <f>MISUO[[#This Row],[سعر البيع ]]</f>
        <v>12899</v>
      </c>
      <c r="Q89" s="85">
        <f>IF(MISUO[[#This Row],[الحالة]]="تم التسليم",MISUO[[#This Row],[إجمالي البيع]],IF(MISUO[[#This Row],[الحالة]]="مرتجع",-MISUO[[#This Row],[إجمالي البيع]],0))</f>
        <v>12899</v>
      </c>
      <c r="R89" s="88" t="s">
        <v>115</v>
      </c>
      <c r="S89" s="89">
        <v>45582</v>
      </c>
      <c r="T89" s="89">
        <v>45648</v>
      </c>
      <c r="U89" s="89">
        <v>45629</v>
      </c>
      <c r="V89" s="89" t="str">
        <f>IF(OR(MISUO[[#This Row],[الحالة]]="مرفوض",MISUO[[#This Row],[الحالة]]="مرتجع"),"لم يتم",
IF(MISUO[[#This Row],[تاريخ التسليم]]&lt;=MISUO[[#This Row],[ميعاد التسليم]],"في الموعد","متأخر"))</f>
        <v>في الموعد</v>
      </c>
      <c r="W89" t="s">
        <v>28</v>
      </c>
      <c r="X89" s="82" t="s">
        <v>198</v>
      </c>
    </row>
    <row r="90" spans="1:24" x14ac:dyDescent="0.25">
      <c r="A90" s="82" t="s">
        <v>240</v>
      </c>
      <c r="B90" s="82" t="s">
        <v>346</v>
      </c>
      <c r="C90" t="s">
        <v>242</v>
      </c>
      <c r="D90" s="82"/>
      <c r="E90" s="82" t="s">
        <v>263</v>
      </c>
      <c r="F90" s="82" t="s">
        <v>150</v>
      </c>
      <c r="G90" s="82" t="s">
        <v>153</v>
      </c>
      <c r="H90" t="s">
        <v>244</v>
      </c>
      <c r="I90" t="s">
        <v>220</v>
      </c>
      <c r="J90" s="82">
        <v>140</v>
      </c>
      <c r="M90">
        <v>1</v>
      </c>
      <c r="O90" s="85">
        <v>5135</v>
      </c>
      <c r="P90" s="85">
        <f>MISUO[[#This Row],[سعر البيع ]]</f>
        <v>5135</v>
      </c>
      <c r="Q90" s="85">
        <f>IF(MISUO[[#This Row],[الحالة]]="تم التسليم",MISUO[[#This Row],[إجمالي البيع]],IF(MISUO[[#This Row],[الحالة]]="مرتجع",-MISUO[[#This Row],[إجمالي البيع]],0))</f>
        <v>5135</v>
      </c>
      <c r="R90" s="88" t="s">
        <v>115</v>
      </c>
      <c r="S90" s="89">
        <v>45585</v>
      </c>
      <c r="T90" s="89">
        <v>45613</v>
      </c>
      <c r="U90" s="89">
        <v>45610</v>
      </c>
      <c r="V90" s="89" t="str">
        <f>IF(OR(MISUO[[#This Row],[الحالة]]="مرفوض",MISUO[[#This Row],[الحالة]]="مرتجع"),"لم يتم",
IF(MISUO[[#This Row],[تاريخ التسليم]]&lt;=MISUO[[#This Row],[ميعاد التسليم]],"في الموعد","متأخر"))</f>
        <v>في الموعد</v>
      </c>
      <c r="W90" t="s">
        <v>199</v>
      </c>
      <c r="X90" s="82" t="s">
        <v>198</v>
      </c>
    </row>
    <row r="91" spans="1:24" x14ac:dyDescent="0.25">
      <c r="A91" s="82" t="s">
        <v>31</v>
      </c>
      <c r="B91" s="82" t="s">
        <v>347</v>
      </c>
      <c r="C91" t="s">
        <v>204</v>
      </c>
      <c r="D91" s="82" t="s">
        <v>339</v>
      </c>
      <c r="E91" s="82" t="s">
        <v>52</v>
      </c>
      <c r="F91" s="82" t="s">
        <v>150</v>
      </c>
      <c r="G91" s="82" t="s">
        <v>165</v>
      </c>
      <c r="H91" t="s">
        <v>213</v>
      </c>
      <c r="I91" t="s">
        <v>214</v>
      </c>
      <c r="J91" s="82">
        <v>100</v>
      </c>
      <c r="M91">
        <v>1</v>
      </c>
      <c r="O91" s="85">
        <v>12777.5</v>
      </c>
      <c r="P91" s="85">
        <f>MISUO[[#This Row],[سعر البيع ]]</f>
        <v>12777.5</v>
      </c>
      <c r="Q91" s="85">
        <f>IF(MISUO[[#This Row],[الحالة]]="تم التسليم",MISUO[[#This Row],[إجمالي البيع]],IF(MISUO[[#This Row],[الحالة]]="مرتجع",-MISUO[[#This Row],[إجمالي البيع]],0))</f>
        <v>12777.5</v>
      </c>
      <c r="R91" s="88" t="s">
        <v>336</v>
      </c>
      <c r="S91" s="89">
        <v>45587</v>
      </c>
      <c r="T91" s="89">
        <v>45608</v>
      </c>
      <c r="U91" s="89">
        <v>45614</v>
      </c>
      <c r="V91" s="89" t="str">
        <f>IF(OR(MISUO[[#This Row],[الحالة]]="مرفوض",MISUO[[#This Row],[الحالة]]="مرتجع"),"لم يتم",
IF(MISUO[[#This Row],[تاريخ التسليم]]&lt;=MISUO[[#This Row],[ميعاد التسليم]],"في الموعد","متأخر"))</f>
        <v>متأخر</v>
      </c>
      <c r="W91" t="s">
        <v>199</v>
      </c>
      <c r="X91" s="82" t="s">
        <v>198</v>
      </c>
    </row>
    <row r="92" spans="1:24" x14ac:dyDescent="0.25">
      <c r="A92" s="82" t="s">
        <v>31</v>
      </c>
      <c r="B92" s="82" t="s">
        <v>347</v>
      </c>
      <c r="C92" t="s">
        <v>204</v>
      </c>
      <c r="D92" s="82" t="s">
        <v>339</v>
      </c>
      <c r="E92" s="82" t="s">
        <v>52</v>
      </c>
      <c r="F92" s="82" t="s">
        <v>150</v>
      </c>
      <c r="G92" s="82" t="s">
        <v>165</v>
      </c>
      <c r="H92" t="s">
        <v>213</v>
      </c>
      <c r="I92" t="s">
        <v>214</v>
      </c>
      <c r="J92" s="82">
        <v>100</v>
      </c>
      <c r="M92">
        <v>1</v>
      </c>
      <c r="O92" s="85">
        <v>12777.5</v>
      </c>
      <c r="P92" s="85">
        <f>MISUO[[#This Row],[سعر البيع ]]</f>
        <v>12777.5</v>
      </c>
      <c r="Q92" s="85">
        <f>IF(MISUO[[#This Row],[الحالة]]="تم التسليم",MISUO[[#This Row],[إجمالي البيع]],IF(MISUO[[#This Row],[الحالة]]="مرتجع",-MISUO[[#This Row],[إجمالي البيع]],0))</f>
        <v>12777.5</v>
      </c>
      <c r="R92" s="88" t="s">
        <v>336</v>
      </c>
      <c r="S92" s="89">
        <v>45587</v>
      </c>
      <c r="T92" s="89">
        <v>45608</v>
      </c>
      <c r="U92" s="89">
        <v>45614</v>
      </c>
      <c r="V92" s="89" t="str">
        <f>IF(OR(MISUO[[#This Row],[الحالة]]="مرفوض",MISUO[[#This Row],[الحالة]]="مرتجع"),"لم يتم",
IF(MISUO[[#This Row],[تاريخ التسليم]]&lt;=MISUO[[#This Row],[ميعاد التسليم]],"في الموعد","متأخر"))</f>
        <v>متأخر</v>
      </c>
      <c r="W92" t="s">
        <v>199</v>
      </c>
      <c r="X92" s="82" t="s">
        <v>198</v>
      </c>
    </row>
    <row r="93" spans="1:24" hidden="1" x14ac:dyDescent="0.25">
      <c r="A93" s="82" t="s">
        <v>83</v>
      </c>
      <c r="B93" s="82" t="s">
        <v>347</v>
      </c>
      <c r="C93" t="s">
        <v>248</v>
      </c>
      <c r="D93" s="82" t="s">
        <v>343</v>
      </c>
      <c r="E93" s="82" t="s">
        <v>56</v>
      </c>
      <c r="F93" s="82" t="s">
        <v>150</v>
      </c>
      <c r="G93" s="82" t="s">
        <v>165</v>
      </c>
      <c r="H93" t="s">
        <v>213</v>
      </c>
      <c r="I93" t="s">
        <v>214</v>
      </c>
      <c r="J93" s="82">
        <v>100</v>
      </c>
      <c r="M93">
        <v>1</v>
      </c>
      <c r="O93" s="85">
        <v>8544.91</v>
      </c>
      <c r="P93" s="85">
        <f>MISUO[[#This Row],[سعر البيع ]]</f>
        <v>8544.91</v>
      </c>
      <c r="Q93" s="85">
        <f>IF(MISUO[[#This Row],[الحالة]]="تم التسليم",MISUO[[#This Row],[إجمالي البيع]],IF(MISUO[[#This Row],[الحالة]]="مرتجع",-MISUO[[#This Row],[إجمالي البيع]],0))</f>
        <v>0</v>
      </c>
      <c r="R93" s="88" t="s">
        <v>85</v>
      </c>
      <c r="S93" s="89">
        <v>45587</v>
      </c>
      <c r="V93" s="89" t="str">
        <f>IF(OR(MISUO[[#This Row],[الحالة]]="مرفوض",MISUO[[#This Row],[الحالة]]="مرتجع"),"لم يتم",
IF(MISUO[[#This Row],[تاريخ التسليم]]&lt;=MISUO[[#This Row],[ميعاد التسليم]],"في الموعد","متأخر"))</f>
        <v>لم يتم</v>
      </c>
      <c r="X93" s="82" t="s">
        <v>333</v>
      </c>
    </row>
    <row r="94" spans="1:24" x14ac:dyDescent="0.25">
      <c r="A94" s="82" t="s">
        <v>250</v>
      </c>
      <c r="B94" s="82" t="s">
        <v>346</v>
      </c>
      <c r="C94" t="s">
        <v>251</v>
      </c>
      <c r="D94" s="82" t="s">
        <v>339</v>
      </c>
      <c r="E94" s="82" t="s">
        <v>8</v>
      </c>
      <c r="F94" s="82" t="s">
        <v>150</v>
      </c>
      <c r="G94" s="82" t="s">
        <v>153</v>
      </c>
      <c r="H94" t="s">
        <v>177</v>
      </c>
      <c r="I94" t="s">
        <v>352</v>
      </c>
      <c r="J94" s="82">
        <v>120</v>
      </c>
      <c r="M94">
        <v>1</v>
      </c>
      <c r="O94" s="85">
        <v>8943</v>
      </c>
      <c r="P94" s="85">
        <f>MISUO[[#This Row],[سعر البيع ]]</f>
        <v>8943</v>
      </c>
      <c r="Q94" s="85">
        <f>IF(MISUO[[#This Row],[الحالة]]="تم التسليم",MISUO[[#This Row],[إجمالي البيع]],IF(MISUO[[#This Row],[الحالة]]="مرتجع",-MISUO[[#This Row],[إجمالي البيع]],0))</f>
        <v>8943</v>
      </c>
      <c r="R94" s="88" t="s">
        <v>336</v>
      </c>
      <c r="S94" s="89">
        <v>45586</v>
      </c>
      <c r="T94" s="89">
        <v>45610</v>
      </c>
      <c r="U94" s="89">
        <v>45614</v>
      </c>
      <c r="V94" s="89" t="str">
        <f>IF(OR(MISUO[[#This Row],[الحالة]]="مرفوض",MISUO[[#This Row],[الحالة]]="مرتجع"),"لم يتم",
IF(MISUO[[#This Row],[تاريخ التسليم]]&lt;=MISUO[[#This Row],[ميعاد التسليم]],"في الموعد","متأخر"))</f>
        <v>متأخر</v>
      </c>
      <c r="W94" t="s">
        <v>199</v>
      </c>
      <c r="X94" s="82" t="s">
        <v>198</v>
      </c>
    </row>
    <row r="95" spans="1:24" x14ac:dyDescent="0.25">
      <c r="A95" s="82" t="s">
        <v>31</v>
      </c>
      <c r="B95" s="82" t="s">
        <v>347</v>
      </c>
      <c r="D95" s="82"/>
      <c r="E95" s="82" t="s">
        <v>52</v>
      </c>
      <c r="F95" s="82" t="s">
        <v>166</v>
      </c>
      <c r="G95" s="82" t="s">
        <v>206</v>
      </c>
      <c r="H95" t="s">
        <v>258</v>
      </c>
      <c r="I95" t="s">
        <v>354</v>
      </c>
      <c r="M95">
        <v>1</v>
      </c>
      <c r="O95" s="85">
        <v>15516</v>
      </c>
      <c r="P95" s="85">
        <f>MISUO[[#This Row],[سعر البيع ]]</f>
        <v>15516</v>
      </c>
      <c r="Q95" s="85">
        <f>IF(MISUO[[#This Row],[الحالة]]="تم التسليم",MISUO[[#This Row],[إجمالي البيع]],IF(MISUO[[#This Row],[الحالة]]="مرتجع",-MISUO[[#This Row],[إجمالي البيع]],0))</f>
        <v>15516</v>
      </c>
      <c r="R95" s="88" t="s">
        <v>115</v>
      </c>
      <c r="S95" s="89">
        <v>45589</v>
      </c>
      <c r="T95" s="89">
        <v>45610</v>
      </c>
      <c r="U95" s="89">
        <v>45595</v>
      </c>
      <c r="V95" s="89" t="str">
        <f>IF(OR(MISUO[[#This Row],[الحالة]]="مرفوض",MISUO[[#This Row],[الحالة]]="مرتجع"),"لم يتم",
IF(MISUO[[#This Row],[تاريخ التسليم]]&lt;=MISUO[[#This Row],[ميعاد التسليم]],"في الموعد","متأخر"))</f>
        <v>في الموعد</v>
      </c>
      <c r="W95" t="s">
        <v>199</v>
      </c>
      <c r="X95" s="82" t="s">
        <v>198</v>
      </c>
    </row>
    <row r="96" spans="1:24" hidden="1" x14ac:dyDescent="0.25">
      <c r="A96" s="82" t="s">
        <v>31</v>
      </c>
      <c r="B96" s="82" t="s">
        <v>347</v>
      </c>
      <c r="D96" s="82"/>
      <c r="E96" s="82" t="s">
        <v>52</v>
      </c>
      <c r="F96" s="82" t="s">
        <v>150</v>
      </c>
      <c r="G96" s="82" t="s">
        <v>165</v>
      </c>
      <c r="H96" t="s">
        <v>154</v>
      </c>
      <c r="I96" t="s">
        <v>354</v>
      </c>
      <c r="J96" s="82">
        <v>100</v>
      </c>
      <c r="M96">
        <v>1</v>
      </c>
      <c r="O96" s="85">
        <v>10045</v>
      </c>
      <c r="P96" s="85">
        <f>MISUO[[#This Row],[سعر البيع ]]</f>
        <v>10045</v>
      </c>
      <c r="Q96" s="85">
        <f>IF(MISUO[[#This Row],[الحالة]]="تم التسليم",MISUO[[#This Row],[إجمالي البيع]],IF(MISUO[[#This Row],[الحالة]]="مرتجع",-MISUO[[#This Row],[إجمالي البيع]],0))</f>
        <v>0</v>
      </c>
      <c r="R96" s="88" t="s">
        <v>336</v>
      </c>
      <c r="S96" s="89">
        <v>45591</v>
      </c>
      <c r="T96" s="89">
        <v>45612</v>
      </c>
      <c r="V96" s="89" t="str">
        <f>IF(OR(MISUO[[#This Row],[الحالة]]="مرفوض",MISUO[[#This Row],[الحالة]]="مرتجع"),"لم يتم",
IF(MISUO[[#This Row],[تاريخ التسليم]]&lt;=MISUO[[#This Row],[ميعاد التسليم]],"في الموعد","متأخر"))</f>
        <v>لم يتم</v>
      </c>
      <c r="X96" s="82" t="s">
        <v>333</v>
      </c>
    </row>
    <row r="97" spans="1:24" x14ac:dyDescent="0.25">
      <c r="A97" s="82" t="s">
        <v>131</v>
      </c>
      <c r="B97" s="82" t="s">
        <v>346</v>
      </c>
      <c r="C97" t="s">
        <v>252</v>
      </c>
      <c r="D97" s="82" t="s">
        <v>339</v>
      </c>
      <c r="E97" s="82" t="s">
        <v>8</v>
      </c>
      <c r="F97" s="82" t="s">
        <v>150</v>
      </c>
      <c r="G97" s="82" t="s">
        <v>165</v>
      </c>
      <c r="H97" t="s">
        <v>154</v>
      </c>
      <c r="I97" t="s">
        <v>354</v>
      </c>
      <c r="J97" s="82">
        <v>90</v>
      </c>
      <c r="M97">
        <v>1</v>
      </c>
      <c r="O97" s="85">
        <v>11649</v>
      </c>
      <c r="P97" s="85">
        <f>MISUO[[#This Row],[سعر البيع ]]</f>
        <v>11649</v>
      </c>
      <c r="Q97" s="85">
        <f>IF(MISUO[[#This Row],[الحالة]]="تم التسليم",MISUO[[#This Row],[إجمالي البيع]],IF(MISUO[[#This Row],[الحالة]]="مرتجع",-MISUO[[#This Row],[إجمالي البيع]],0))</f>
        <v>11649</v>
      </c>
      <c r="R97" s="88" t="s">
        <v>336</v>
      </c>
      <c r="S97" s="89">
        <v>45591</v>
      </c>
      <c r="T97" s="89">
        <v>45606</v>
      </c>
      <c r="U97" s="89">
        <v>45614</v>
      </c>
      <c r="V97" s="89" t="str">
        <f>IF(OR(MISUO[[#This Row],[الحالة]]="مرفوض",MISUO[[#This Row],[الحالة]]="مرتجع"),"لم يتم",
IF(MISUO[[#This Row],[تاريخ التسليم]]&lt;=MISUO[[#This Row],[ميعاد التسليم]],"في الموعد","متأخر"))</f>
        <v>متأخر</v>
      </c>
      <c r="W97" t="s">
        <v>199</v>
      </c>
      <c r="X97" s="82" t="s">
        <v>198</v>
      </c>
    </row>
    <row r="98" spans="1:24" x14ac:dyDescent="0.25">
      <c r="A98" s="82" t="s">
        <v>131</v>
      </c>
      <c r="B98" s="82" t="s">
        <v>346</v>
      </c>
      <c r="C98" t="s">
        <v>252</v>
      </c>
      <c r="D98" s="82" t="s">
        <v>339</v>
      </c>
      <c r="E98" s="82" t="s">
        <v>8</v>
      </c>
      <c r="F98" s="82" t="s">
        <v>150</v>
      </c>
      <c r="G98" s="82" t="s">
        <v>165</v>
      </c>
      <c r="H98" t="s">
        <v>154</v>
      </c>
      <c r="I98" t="s">
        <v>354</v>
      </c>
      <c r="J98" s="82">
        <v>90</v>
      </c>
      <c r="M98">
        <v>1</v>
      </c>
      <c r="O98" s="85">
        <v>11649</v>
      </c>
      <c r="P98" s="85">
        <f>MISUO[[#This Row],[سعر البيع ]]</f>
        <v>11649</v>
      </c>
      <c r="Q98" s="85">
        <f>IF(MISUO[[#This Row],[الحالة]]="تم التسليم",MISUO[[#This Row],[إجمالي البيع]],IF(MISUO[[#This Row],[الحالة]]="مرتجع",-MISUO[[#This Row],[إجمالي البيع]],0))</f>
        <v>11649</v>
      </c>
      <c r="R98" s="88" t="s">
        <v>336</v>
      </c>
      <c r="S98" s="89">
        <v>45591</v>
      </c>
      <c r="T98" s="89">
        <v>45606</v>
      </c>
      <c r="U98" s="89">
        <v>45614</v>
      </c>
      <c r="V98" s="89" t="str">
        <f>IF(OR(MISUO[[#This Row],[الحالة]]="مرفوض",MISUO[[#This Row],[الحالة]]="مرتجع"),"لم يتم",
IF(MISUO[[#This Row],[تاريخ التسليم]]&lt;=MISUO[[#This Row],[ميعاد التسليم]],"في الموعد","متأخر"))</f>
        <v>متأخر</v>
      </c>
      <c r="W98" t="s">
        <v>199</v>
      </c>
      <c r="X98" s="82" t="s">
        <v>198</v>
      </c>
    </row>
    <row r="99" spans="1:24" x14ac:dyDescent="0.25">
      <c r="A99" s="82" t="s">
        <v>253</v>
      </c>
      <c r="B99" s="82" t="s">
        <v>346</v>
      </c>
      <c r="C99" t="s">
        <v>107</v>
      </c>
      <c r="D99" s="82" t="s">
        <v>343</v>
      </c>
      <c r="E99" s="82" t="s">
        <v>8</v>
      </c>
      <c r="F99" s="82" t="s">
        <v>150</v>
      </c>
      <c r="G99" s="82" t="s">
        <v>153</v>
      </c>
      <c r="H99" t="s">
        <v>156</v>
      </c>
      <c r="I99" t="s">
        <v>352</v>
      </c>
      <c r="J99" s="82">
        <v>100</v>
      </c>
      <c r="M99">
        <v>1</v>
      </c>
      <c r="O99" s="85">
        <v>5100</v>
      </c>
      <c r="P99" s="85">
        <f>MISUO[[#This Row],[سعر البيع ]]</f>
        <v>5100</v>
      </c>
      <c r="Q99" s="85">
        <f>IF(MISUO[[#This Row],[الحالة]]="تم التسليم",MISUO[[#This Row],[إجمالي البيع]],IF(MISUO[[#This Row],[الحالة]]="مرتجع",-MISUO[[#This Row],[إجمالي البيع]],0))</f>
        <v>5100</v>
      </c>
      <c r="R99" s="88" t="s">
        <v>336</v>
      </c>
      <c r="S99" s="89">
        <v>45593</v>
      </c>
      <c r="T99" s="89">
        <v>45607</v>
      </c>
      <c r="U99" s="89">
        <v>45617</v>
      </c>
      <c r="V99" s="89" t="str">
        <f>IF(OR(MISUO[[#This Row],[الحالة]]="مرفوض",MISUO[[#This Row],[الحالة]]="مرتجع"),"لم يتم",
IF(MISUO[[#This Row],[تاريخ التسليم]]&lt;=MISUO[[#This Row],[ميعاد التسليم]],"في الموعد","متأخر"))</f>
        <v>متأخر</v>
      </c>
      <c r="W99" t="s">
        <v>199</v>
      </c>
      <c r="X99" s="82" t="s">
        <v>198</v>
      </c>
    </row>
    <row r="100" spans="1:24" x14ac:dyDescent="0.25">
      <c r="A100" s="82" t="s">
        <v>253</v>
      </c>
      <c r="B100" s="82" t="s">
        <v>346</v>
      </c>
      <c r="C100" t="s">
        <v>107</v>
      </c>
      <c r="D100" s="82" t="s">
        <v>343</v>
      </c>
      <c r="E100" s="82" t="s">
        <v>8</v>
      </c>
      <c r="F100" s="82" t="s">
        <v>150</v>
      </c>
      <c r="G100" s="82" t="s">
        <v>153</v>
      </c>
      <c r="H100" t="s">
        <v>156</v>
      </c>
      <c r="I100" t="s">
        <v>352</v>
      </c>
      <c r="J100" s="82">
        <v>120</v>
      </c>
      <c r="M100">
        <v>1</v>
      </c>
      <c r="O100" s="85">
        <v>5300</v>
      </c>
      <c r="P100" s="85">
        <f>MISUO[[#This Row],[سعر البيع ]]</f>
        <v>5300</v>
      </c>
      <c r="Q100" s="85">
        <f>IF(MISUO[[#This Row],[الحالة]]="تم التسليم",MISUO[[#This Row],[إجمالي البيع]],IF(MISUO[[#This Row],[الحالة]]="مرتجع",-MISUO[[#This Row],[إجمالي البيع]],0))</f>
        <v>5300</v>
      </c>
      <c r="R100" s="88" t="s">
        <v>336</v>
      </c>
      <c r="S100" s="89">
        <v>45593</v>
      </c>
      <c r="T100" s="89">
        <v>45607</v>
      </c>
      <c r="U100" s="89">
        <v>45617</v>
      </c>
      <c r="V100" s="89" t="str">
        <f>IF(OR(MISUO[[#This Row],[الحالة]]="مرفوض",MISUO[[#This Row],[الحالة]]="مرتجع"),"لم يتم",
IF(MISUO[[#This Row],[تاريخ التسليم]]&lt;=MISUO[[#This Row],[ميعاد التسليم]],"في الموعد","متأخر"))</f>
        <v>متأخر</v>
      </c>
      <c r="W100" t="s">
        <v>199</v>
      </c>
      <c r="X100" s="82" t="s">
        <v>198</v>
      </c>
    </row>
    <row r="101" spans="1:24" x14ac:dyDescent="0.25">
      <c r="A101" s="82" t="s">
        <v>257</v>
      </c>
      <c r="B101" s="82" t="s">
        <v>346</v>
      </c>
      <c r="C101" t="s">
        <v>264</v>
      </c>
      <c r="D101" s="82" t="s">
        <v>343</v>
      </c>
      <c r="E101" s="82" t="s">
        <v>8</v>
      </c>
      <c r="F101" s="82" t="s">
        <v>150</v>
      </c>
      <c r="G101" s="82" t="s">
        <v>165</v>
      </c>
      <c r="H101" t="s">
        <v>154</v>
      </c>
      <c r="I101" t="s">
        <v>352</v>
      </c>
      <c r="J101" s="82">
        <v>80</v>
      </c>
      <c r="M101">
        <v>1</v>
      </c>
      <c r="O101" s="85">
        <v>12099</v>
      </c>
      <c r="P101" s="85">
        <f>MISUO[[#This Row],[سعر البيع ]]</f>
        <v>12099</v>
      </c>
      <c r="Q101" s="85">
        <f>IF(MISUO[[#This Row],[الحالة]]="تم التسليم",MISUO[[#This Row],[إجمالي البيع]],IF(MISUO[[#This Row],[الحالة]]="مرتجع",-MISUO[[#This Row],[إجمالي البيع]],0))</f>
        <v>12099</v>
      </c>
      <c r="R101" s="88" t="s">
        <v>115</v>
      </c>
      <c r="S101" s="89">
        <v>45607</v>
      </c>
      <c r="T101" s="89">
        <v>45622</v>
      </c>
      <c r="U101" s="89">
        <v>45623</v>
      </c>
      <c r="V101" s="89" t="str">
        <f>IF(OR(MISUO[[#This Row],[الحالة]]="مرفوض",MISUO[[#This Row],[الحالة]]="مرتجع"),"لم يتم",
IF(MISUO[[#This Row],[تاريخ التسليم]]&lt;=MISUO[[#This Row],[ميعاد التسليم]],"في الموعد","متأخر"))</f>
        <v>متأخر</v>
      </c>
      <c r="W101" t="s">
        <v>199</v>
      </c>
      <c r="X101" s="82" t="s">
        <v>198</v>
      </c>
    </row>
    <row r="102" spans="1:24" x14ac:dyDescent="0.25">
      <c r="A102" s="82" t="s">
        <v>52</v>
      </c>
      <c r="B102" s="82" t="s">
        <v>347</v>
      </c>
      <c r="C102" t="s">
        <v>224</v>
      </c>
      <c r="D102" s="82"/>
      <c r="E102" s="82" t="s">
        <v>52</v>
      </c>
      <c r="F102" s="82" t="s">
        <v>166</v>
      </c>
      <c r="G102" s="82" t="s">
        <v>206</v>
      </c>
      <c r="H102" t="s">
        <v>258</v>
      </c>
      <c r="I102" t="s">
        <v>354</v>
      </c>
      <c r="M102">
        <v>1</v>
      </c>
      <c r="O102" s="85">
        <v>15872</v>
      </c>
      <c r="P102" s="85">
        <f>MISUO[[#This Row],[سعر البيع ]]</f>
        <v>15872</v>
      </c>
      <c r="Q102" s="85">
        <f>IF(MISUO[[#This Row],[الحالة]]="تم التسليم",MISUO[[#This Row],[إجمالي البيع]],IF(MISUO[[#This Row],[الحالة]]="مرتجع",-MISUO[[#This Row],[إجمالي البيع]],0))</f>
        <v>15872</v>
      </c>
      <c r="R102" s="88" t="s">
        <v>115</v>
      </c>
      <c r="S102" s="89">
        <v>45604</v>
      </c>
      <c r="T102" s="89">
        <v>45363</v>
      </c>
      <c r="U102" s="89">
        <v>45610</v>
      </c>
      <c r="V102" s="89" t="str">
        <f>IF(OR(MISUO[[#This Row],[الحالة]]="مرفوض",MISUO[[#This Row],[الحالة]]="مرتجع"),"لم يتم",
IF(MISUO[[#This Row],[تاريخ التسليم]]&lt;=MISUO[[#This Row],[ميعاد التسليم]],"في الموعد","متأخر"))</f>
        <v>متأخر</v>
      </c>
      <c r="W102" t="s">
        <v>199</v>
      </c>
      <c r="X102" s="82" t="s">
        <v>198</v>
      </c>
    </row>
    <row r="103" spans="1:24" x14ac:dyDescent="0.25">
      <c r="A103" s="82" t="s">
        <v>263</v>
      </c>
      <c r="B103" s="82" t="s">
        <v>346</v>
      </c>
      <c r="C103" t="s">
        <v>34</v>
      </c>
      <c r="D103" s="82" t="s">
        <v>343</v>
      </c>
      <c r="E103" s="82" t="s">
        <v>263</v>
      </c>
      <c r="F103" s="82" t="s">
        <v>150</v>
      </c>
      <c r="G103" s="82" t="s">
        <v>153</v>
      </c>
      <c r="H103" t="s">
        <v>177</v>
      </c>
      <c r="I103" t="s">
        <v>352</v>
      </c>
      <c r="J103" s="82">
        <v>120</v>
      </c>
      <c r="M103">
        <v>1</v>
      </c>
      <c r="O103" s="85">
        <v>4520</v>
      </c>
      <c r="P103" s="85">
        <f>MISUO[[#This Row],[سعر البيع ]]</f>
        <v>4520</v>
      </c>
      <c r="Q103" s="85">
        <f>IF(MISUO[[#This Row],[الحالة]]="تم التسليم",MISUO[[#This Row],[إجمالي البيع]],IF(MISUO[[#This Row],[الحالة]]="مرتجع",-MISUO[[#This Row],[إجمالي البيع]],0))</f>
        <v>4520</v>
      </c>
      <c r="R103" s="88" t="s">
        <v>85</v>
      </c>
      <c r="S103" s="89">
        <v>45606</v>
      </c>
      <c r="T103" s="89">
        <v>45618</v>
      </c>
      <c r="U103" s="89">
        <v>45617</v>
      </c>
      <c r="V103" s="89" t="str">
        <f>IF(OR(MISUO[[#This Row],[الحالة]]="مرفوض",MISUO[[#This Row],[الحالة]]="مرتجع"),"لم يتم",
IF(MISUO[[#This Row],[تاريخ التسليم]]&lt;=MISUO[[#This Row],[ميعاد التسليم]],"في الموعد","متأخر"))</f>
        <v>في الموعد</v>
      </c>
      <c r="W103" t="s">
        <v>199</v>
      </c>
      <c r="X103" s="82" t="s">
        <v>198</v>
      </c>
    </row>
    <row r="104" spans="1:24" x14ac:dyDescent="0.25">
      <c r="A104" s="82" t="s">
        <v>83</v>
      </c>
      <c r="B104" s="82" t="s">
        <v>347</v>
      </c>
      <c r="C104" t="s">
        <v>200</v>
      </c>
      <c r="D104" s="82" t="s">
        <v>339</v>
      </c>
      <c r="E104" s="82" t="s">
        <v>56</v>
      </c>
      <c r="F104" s="82" t="s">
        <v>150</v>
      </c>
      <c r="G104" s="82" t="s">
        <v>165</v>
      </c>
      <c r="H104" t="s">
        <v>154</v>
      </c>
      <c r="I104" t="s">
        <v>354</v>
      </c>
      <c r="J104" s="82">
        <v>90</v>
      </c>
      <c r="M104">
        <v>1</v>
      </c>
      <c r="O104" s="85">
        <v>5766</v>
      </c>
      <c r="P104" s="85">
        <f>MISUO[[#This Row],[سعر البيع ]]</f>
        <v>5766</v>
      </c>
      <c r="Q104" s="85">
        <f>IF(MISUO[[#This Row],[الحالة]]="تم التسليم",MISUO[[#This Row],[إجمالي البيع]],IF(MISUO[[#This Row],[الحالة]]="مرتجع",-MISUO[[#This Row],[إجمالي البيع]],0))</f>
        <v>5766</v>
      </c>
      <c r="R104" s="88" t="s">
        <v>85</v>
      </c>
      <c r="S104" s="89">
        <v>45608</v>
      </c>
      <c r="T104" s="89">
        <v>45622</v>
      </c>
      <c r="U104" s="89">
        <v>45621</v>
      </c>
      <c r="V104" s="89" t="str">
        <f>IF(OR(MISUO[[#This Row],[الحالة]]="مرفوض",MISUO[[#This Row],[الحالة]]="مرتجع"),"لم يتم",
IF(MISUO[[#This Row],[تاريخ التسليم]]&lt;=MISUO[[#This Row],[ميعاد التسليم]],"في الموعد","متأخر"))</f>
        <v>في الموعد</v>
      </c>
      <c r="W104" t="s">
        <v>199</v>
      </c>
      <c r="X104" s="82" t="s">
        <v>198</v>
      </c>
    </row>
    <row r="105" spans="1:24" x14ac:dyDescent="0.25">
      <c r="A105" s="82" t="s">
        <v>266</v>
      </c>
      <c r="B105" s="82" t="s">
        <v>346</v>
      </c>
      <c r="C105" t="s">
        <v>107</v>
      </c>
      <c r="D105" s="82" t="s">
        <v>343</v>
      </c>
      <c r="E105" s="82" t="s">
        <v>8</v>
      </c>
      <c r="F105" s="82" t="s">
        <v>150</v>
      </c>
      <c r="G105" s="82" t="s">
        <v>153</v>
      </c>
      <c r="H105" t="s">
        <v>177</v>
      </c>
      <c r="I105" t="s">
        <v>395</v>
      </c>
      <c r="J105" s="82">
        <v>160</v>
      </c>
      <c r="M105">
        <v>1</v>
      </c>
      <c r="O105" s="85">
        <v>11395</v>
      </c>
      <c r="P105" s="85">
        <f>MISUO[[#This Row],[سعر البيع ]]</f>
        <v>11395</v>
      </c>
      <c r="Q105" s="85">
        <f>IF(MISUO[[#This Row],[الحالة]]="تم التسليم",MISUO[[#This Row],[إجمالي البيع]],IF(MISUO[[#This Row],[الحالة]]="مرتجع",-MISUO[[#This Row],[إجمالي البيع]],0))</f>
        <v>11395</v>
      </c>
      <c r="R105" s="88" t="s">
        <v>115</v>
      </c>
      <c r="S105" s="89">
        <v>45608</v>
      </c>
      <c r="T105" s="89">
        <v>45620</v>
      </c>
      <c r="U105" s="89">
        <v>45623</v>
      </c>
      <c r="V105" s="89" t="str">
        <f>IF(OR(MISUO[[#This Row],[الحالة]]="مرفوض",MISUO[[#This Row],[الحالة]]="مرتجع"),"لم يتم",
IF(MISUO[[#This Row],[تاريخ التسليم]]&lt;=MISUO[[#This Row],[ميعاد التسليم]],"في الموعد","متأخر"))</f>
        <v>متأخر</v>
      </c>
      <c r="W105" t="s">
        <v>199</v>
      </c>
      <c r="X105" s="82" t="s">
        <v>198</v>
      </c>
    </row>
    <row r="106" spans="1:24" x14ac:dyDescent="0.25">
      <c r="A106" s="82" t="s">
        <v>267</v>
      </c>
      <c r="B106" s="82" t="s">
        <v>346</v>
      </c>
      <c r="C106" t="s">
        <v>34</v>
      </c>
      <c r="D106" s="82" t="s">
        <v>343</v>
      </c>
      <c r="E106" s="82" t="s">
        <v>8</v>
      </c>
      <c r="F106" s="82" t="s">
        <v>150</v>
      </c>
      <c r="G106" s="82" t="s">
        <v>165</v>
      </c>
      <c r="H106" t="s">
        <v>154</v>
      </c>
      <c r="I106" t="s">
        <v>352</v>
      </c>
      <c r="J106" s="82">
        <v>80</v>
      </c>
      <c r="M106">
        <v>1</v>
      </c>
      <c r="O106" s="85">
        <v>12919</v>
      </c>
      <c r="P106" s="85">
        <f>MISUO[[#This Row],[سعر البيع ]]</f>
        <v>12919</v>
      </c>
      <c r="Q106" s="85">
        <f>IF(MISUO[[#This Row],[الحالة]]="تم التسليم",MISUO[[#This Row],[إجمالي البيع]],IF(MISUO[[#This Row],[الحالة]]="مرتجع",-MISUO[[#This Row],[إجمالي البيع]],0))</f>
        <v>12919</v>
      </c>
      <c r="R106" s="88" t="s">
        <v>115</v>
      </c>
      <c r="S106" s="89">
        <v>45610</v>
      </c>
      <c r="T106" s="89">
        <v>45626</v>
      </c>
      <c r="U106" s="89">
        <v>45623</v>
      </c>
      <c r="V106" s="89" t="str">
        <f>IF(OR(MISUO[[#This Row],[الحالة]]="مرفوض",MISUO[[#This Row],[الحالة]]="مرتجع"),"لم يتم",
IF(MISUO[[#This Row],[تاريخ التسليم]]&lt;=MISUO[[#This Row],[ميعاد التسليم]],"في الموعد","متأخر"))</f>
        <v>في الموعد</v>
      </c>
      <c r="W106" t="s">
        <v>199</v>
      </c>
      <c r="X106" s="82" t="s">
        <v>198</v>
      </c>
    </row>
    <row r="107" spans="1:24" x14ac:dyDescent="0.25">
      <c r="A107" s="82" t="s">
        <v>83</v>
      </c>
      <c r="B107" s="82" t="s">
        <v>347</v>
      </c>
      <c r="C107" t="s">
        <v>200</v>
      </c>
      <c r="D107" s="82" t="s">
        <v>339</v>
      </c>
      <c r="E107" s="82" t="s">
        <v>56</v>
      </c>
      <c r="F107" s="82" t="s">
        <v>150</v>
      </c>
      <c r="G107" s="82" t="s">
        <v>165</v>
      </c>
      <c r="H107" t="s">
        <v>152</v>
      </c>
      <c r="I107" t="s">
        <v>361</v>
      </c>
      <c r="J107" s="82">
        <v>120</v>
      </c>
      <c r="M107">
        <v>1</v>
      </c>
      <c r="O107" s="85">
        <v>6376</v>
      </c>
      <c r="P107" s="85">
        <f>MISUO[[#This Row],[سعر البيع ]]</f>
        <v>6376</v>
      </c>
      <c r="Q107" s="85">
        <f>IF(MISUO[[#This Row],[الحالة]]="تم التسليم",MISUO[[#This Row],[إجمالي البيع]],IF(MISUO[[#This Row],[الحالة]]="مرتجع",-MISUO[[#This Row],[إجمالي البيع]],0))</f>
        <v>6376</v>
      </c>
      <c r="R107" s="88" t="s">
        <v>85</v>
      </c>
      <c r="S107" s="89">
        <v>45610</v>
      </c>
      <c r="T107" s="89">
        <v>45623</v>
      </c>
      <c r="U107" s="89">
        <v>45621</v>
      </c>
      <c r="V107" s="89" t="str">
        <f>IF(OR(MISUO[[#This Row],[الحالة]]="مرفوض",MISUO[[#This Row],[الحالة]]="مرتجع"),"لم يتم",
IF(MISUO[[#This Row],[تاريخ التسليم]]&lt;=MISUO[[#This Row],[ميعاد التسليم]],"في الموعد","متأخر"))</f>
        <v>في الموعد</v>
      </c>
      <c r="W107" t="s">
        <v>199</v>
      </c>
      <c r="X107" s="82" t="s">
        <v>198</v>
      </c>
    </row>
    <row r="108" spans="1:24" x14ac:dyDescent="0.25">
      <c r="A108" s="82" t="s">
        <v>83</v>
      </c>
      <c r="B108" s="82" t="s">
        <v>347</v>
      </c>
      <c r="C108" t="s">
        <v>272</v>
      </c>
      <c r="D108" s="82"/>
      <c r="E108" s="82" t="s">
        <v>56</v>
      </c>
      <c r="F108" s="82" t="s">
        <v>150</v>
      </c>
      <c r="G108" s="82" t="s">
        <v>273</v>
      </c>
      <c r="H108" t="s">
        <v>152</v>
      </c>
      <c r="I108" t="s">
        <v>354</v>
      </c>
      <c r="J108" s="82">
        <v>90</v>
      </c>
      <c r="M108">
        <v>1</v>
      </c>
      <c r="O108" s="85">
        <v>5294</v>
      </c>
      <c r="P108" s="85">
        <f>MISUO[[#This Row],[سعر البيع ]]</f>
        <v>5294</v>
      </c>
      <c r="Q108" s="85">
        <f>IF(MISUO[[#This Row],[الحالة]]="تم التسليم",MISUO[[#This Row],[إجمالي البيع]],IF(MISUO[[#This Row],[الحالة]]="مرتجع",-MISUO[[#This Row],[إجمالي البيع]],0))</f>
        <v>5294</v>
      </c>
      <c r="R108" s="88" t="s">
        <v>85</v>
      </c>
      <c r="S108" s="89">
        <v>45610</v>
      </c>
      <c r="T108" s="89">
        <v>45623</v>
      </c>
      <c r="U108" s="89">
        <v>45621</v>
      </c>
      <c r="V108" s="89" t="str">
        <f>IF(OR(MISUO[[#This Row],[الحالة]]="مرفوض",MISUO[[#This Row],[الحالة]]="مرتجع"),"لم يتم",
IF(MISUO[[#This Row],[تاريخ التسليم]]&lt;=MISUO[[#This Row],[ميعاد التسليم]],"في الموعد","متأخر"))</f>
        <v>في الموعد</v>
      </c>
      <c r="W108" t="s">
        <v>199</v>
      </c>
      <c r="X108" s="82" t="s">
        <v>198</v>
      </c>
    </row>
    <row r="109" spans="1:24" x14ac:dyDescent="0.25">
      <c r="A109" s="82" t="s">
        <v>275</v>
      </c>
      <c r="B109" s="82" t="s">
        <v>346</v>
      </c>
      <c r="C109" t="s">
        <v>39</v>
      </c>
      <c r="D109" s="82" t="s">
        <v>339</v>
      </c>
      <c r="E109" s="82" t="s">
        <v>276</v>
      </c>
      <c r="F109" s="82" t="s">
        <v>150</v>
      </c>
      <c r="G109" s="82" t="s">
        <v>273</v>
      </c>
      <c r="H109" t="s">
        <v>154</v>
      </c>
      <c r="I109" t="s">
        <v>352</v>
      </c>
      <c r="J109" s="82">
        <v>80</v>
      </c>
      <c r="M109">
        <v>1</v>
      </c>
      <c r="O109" s="85">
        <v>7396</v>
      </c>
      <c r="P109" s="85">
        <f>MISUO[[#This Row],[سعر البيع ]]</f>
        <v>7396</v>
      </c>
      <c r="Q109" s="85">
        <f>IF(MISUO[[#This Row],[الحالة]]="تم التسليم",MISUO[[#This Row],[إجمالي البيع]],IF(MISUO[[#This Row],[الحالة]]="مرتجع",-MISUO[[#This Row],[إجمالي البيع]],0))</f>
        <v>7396</v>
      </c>
      <c r="R109" s="88" t="s">
        <v>115</v>
      </c>
      <c r="S109" s="89">
        <v>45613</v>
      </c>
      <c r="T109" s="89">
        <v>45624</v>
      </c>
      <c r="U109" s="89">
        <v>45622</v>
      </c>
      <c r="V109" s="89" t="str">
        <f>IF(OR(MISUO[[#This Row],[الحالة]]="مرفوض",MISUO[[#This Row],[الحالة]]="مرتجع"),"لم يتم",
IF(MISUO[[#This Row],[تاريخ التسليم]]&lt;=MISUO[[#This Row],[ميعاد التسليم]],"في الموعد","متأخر"))</f>
        <v>في الموعد</v>
      </c>
      <c r="W109" t="s">
        <v>199</v>
      </c>
      <c r="X109" s="82" t="s">
        <v>198</v>
      </c>
    </row>
    <row r="110" spans="1:24" x14ac:dyDescent="0.25">
      <c r="A110" s="82" t="s">
        <v>131</v>
      </c>
      <c r="B110" s="82" t="s">
        <v>346</v>
      </c>
      <c r="C110" t="s">
        <v>278</v>
      </c>
      <c r="D110" s="82" t="s">
        <v>339</v>
      </c>
      <c r="E110" s="82" t="s">
        <v>8</v>
      </c>
      <c r="F110" s="82" t="s">
        <v>150</v>
      </c>
      <c r="G110" s="82" t="s">
        <v>165</v>
      </c>
      <c r="H110" t="s">
        <v>154</v>
      </c>
      <c r="I110" t="s">
        <v>354</v>
      </c>
      <c r="J110" s="82">
        <v>90</v>
      </c>
      <c r="M110">
        <v>1</v>
      </c>
      <c r="O110" s="85">
        <v>13439</v>
      </c>
      <c r="P110" s="85">
        <f>MISUO[[#This Row],[سعر البيع ]]</f>
        <v>13439</v>
      </c>
      <c r="Q110" s="85">
        <f>IF(MISUO[[#This Row],[الحالة]]="تم التسليم",MISUO[[#This Row],[إجمالي البيع]],IF(MISUO[[#This Row],[الحالة]]="مرتجع",-MISUO[[#This Row],[إجمالي البيع]],0))</f>
        <v>13439</v>
      </c>
      <c r="R110" s="88" t="s">
        <v>336</v>
      </c>
      <c r="S110" s="89">
        <v>45616</v>
      </c>
      <c r="T110" s="89">
        <v>45631</v>
      </c>
      <c r="U110" s="89">
        <v>45622</v>
      </c>
      <c r="V110" s="89" t="str">
        <f>IF(OR(MISUO[[#This Row],[الحالة]]="مرفوض",MISUO[[#This Row],[الحالة]]="مرتجع"),"لم يتم",
IF(MISUO[[#This Row],[تاريخ التسليم]]&lt;=MISUO[[#This Row],[ميعاد التسليم]],"في الموعد","متأخر"))</f>
        <v>في الموعد</v>
      </c>
      <c r="W110" t="s">
        <v>199</v>
      </c>
      <c r="X110" s="82" t="s">
        <v>198</v>
      </c>
    </row>
    <row r="111" spans="1:24" hidden="1" x14ac:dyDescent="0.25">
      <c r="A111" s="82" t="s">
        <v>41</v>
      </c>
      <c r="B111" s="82" t="s">
        <v>347</v>
      </c>
      <c r="C111" t="s">
        <v>46</v>
      </c>
      <c r="D111" s="82" t="s">
        <v>343</v>
      </c>
      <c r="E111" s="82" t="s">
        <v>43</v>
      </c>
      <c r="F111" s="82" t="s">
        <v>150</v>
      </c>
      <c r="G111" s="82" t="s">
        <v>279</v>
      </c>
      <c r="H111" t="s">
        <v>280</v>
      </c>
      <c r="I111" t="s">
        <v>354</v>
      </c>
      <c r="J111" s="82">
        <v>160</v>
      </c>
      <c r="M111">
        <v>1</v>
      </c>
      <c r="O111" s="85">
        <v>5100</v>
      </c>
      <c r="P111" s="85">
        <f>MISUO[[#This Row],[سعر البيع ]]</f>
        <v>5100</v>
      </c>
      <c r="Q111" s="85">
        <f>IF(MISUO[[#This Row],[الحالة]]="تم التسليم",MISUO[[#This Row],[إجمالي البيع]],IF(MISUO[[#This Row],[الحالة]]="مرتجع",-MISUO[[#This Row],[إجمالي البيع]],0))</f>
        <v>0</v>
      </c>
      <c r="R111" s="88" t="s">
        <v>85</v>
      </c>
      <c r="S111" s="89">
        <v>45610</v>
      </c>
      <c r="T111" s="89">
        <v>45634</v>
      </c>
      <c r="V111" s="89" t="str">
        <f>IF(OR(MISUO[[#This Row],[الحالة]]="مرفوض",MISUO[[#This Row],[الحالة]]="مرتجع"),"لم يتم",
IF(MISUO[[#This Row],[تاريخ التسليم]]&lt;=MISUO[[#This Row],[ميعاد التسليم]],"في الموعد","متأخر"))</f>
        <v>لم يتم</v>
      </c>
      <c r="X111" s="82" t="s">
        <v>333</v>
      </c>
    </row>
    <row r="112" spans="1:24" x14ac:dyDescent="0.25">
      <c r="A112" s="82" t="s">
        <v>281</v>
      </c>
      <c r="B112" s="82" t="s">
        <v>346</v>
      </c>
      <c r="C112" t="s">
        <v>49</v>
      </c>
      <c r="D112" s="82" t="s">
        <v>343</v>
      </c>
      <c r="E112" s="82" t="s">
        <v>35</v>
      </c>
      <c r="F112" s="82" t="s">
        <v>150</v>
      </c>
      <c r="G112" s="82" t="s">
        <v>153</v>
      </c>
      <c r="H112" t="s">
        <v>283</v>
      </c>
      <c r="I112" t="s">
        <v>176</v>
      </c>
      <c r="J112" s="82">
        <v>160</v>
      </c>
      <c r="M112">
        <v>1</v>
      </c>
      <c r="O112" s="85">
        <v>6000</v>
      </c>
      <c r="P112" s="85">
        <f>MISUO[[#This Row],[سعر البيع ]]</f>
        <v>6000</v>
      </c>
      <c r="Q112" s="85">
        <f>IF(MISUO[[#This Row],[الحالة]]="تم التسليم",MISUO[[#This Row],[إجمالي البيع]],IF(MISUO[[#This Row],[الحالة]]="مرتجع",-MISUO[[#This Row],[إجمالي البيع]],0))</f>
        <v>6000</v>
      </c>
      <c r="R112" s="88" t="s">
        <v>336</v>
      </c>
      <c r="S112" s="89">
        <v>45618</v>
      </c>
      <c r="T112" s="89">
        <v>45628</v>
      </c>
      <c r="U112" s="89">
        <v>45623</v>
      </c>
      <c r="V112" s="89" t="str">
        <f>IF(OR(MISUO[[#This Row],[الحالة]]="مرفوض",MISUO[[#This Row],[الحالة]]="مرتجع"),"لم يتم",
IF(MISUO[[#This Row],[تاريخ التسليم]]&lt;=MISUO[[#This Row],[ميعاد التسليم]],"في الموعد","متأخر"))</f>
        <v>في الموعد</v>
      </c>
      <c r="W112" t="s">
        <v>199</v>
      </c>
      <c r="X112" s="82" t="s">
        <v>198</v>
      </c>
    </row>
    <row r="113" spans="1:24" x14ac:dyDescent="0.25">
      <c r="A113" s="82" t="s">
        <v>285</v>
      </c>
      <c r="B113" s="82" t="s">
        <v>346</v>
      </c>
      <c r="C113" t="s">
        <v>286</v>
      </c>
      <c r="D113" s="82" t="s">
        <v>343</v>
      </c>
      <c r="E113" s="82" t="s">
        <v>8</v>
      </c>
      <c r="F113" s="82" t="s">
        <v>150</v>
      </c>
      <c r="G113" s="82" t="s">
        <v>279</v>
      </c>
      <c r="H113" t="s">
        <v>287</v>
      </c>
      <c r="I113" t="s">
        <v>361</v>
      </c>
      <c r="J113" s="82">
        <v>120</v>
      </c>
      <c r="M113">
        <v>1</v>
      </c>
      <c r="O113" s="85">
        <v>10885</v>
      </c>
      <c r="P113" s="85">
        <f>MISUO[[#This Row],[سعر البيع ]]</f>
        <v>10885</v>
      </c>
      <c r="Q113" s="85">
        <f>IF(MISUO[[#This Row],[الحالة]]="تم التسليم",MISUO[[#This Row],[إجمالي البيع]],IF(MISUO[[#This Row],[الحالة]]="مرتجع",-MISUO[[#This Row],[إجمالي البيع]],0))</f>
        <v>10885</v>
      </c>
      <c r="R113" s="88" t="s">
        <v>336</v>
      </c>
      <c r="S113" s="89">
        <v>45620</v>
      </c>
      <c r="T113" s="89">
        <v>45631</v>
      </c>
      <c r="U113" s="89">
        <v>45636</v>
      </c>
      <c r="V113" s="89" t="str">
        <f>IF(OR(MISUO[[#This Row],[الحالة]]="مرفوض",MISUO[[#This Row],[الحالة]]="مرتجع"),"لم يتم",
IF(MISUO[[#This Row],[تاريخ التسليم]]&lt;=MISUO[[#This Row],[ميعاد التسليم]],"في الموعد","متأخر"))</f>
        <v>متأخر</v>
      </c>
      <c r="W113" t="s">
        <v>199</v>
      </c>
      <c r="X113" s="82" t="s">
        <v>198</v>
      </c>
    </row>
    <row r="114" spans="1:24" x14ac:dyDescent="0.25">
      <c r="A114" s="82" t="s">
        <v>41</v>
      </c>
      <c r="B114" s="82" t="s">
        <v>347</v>
      </c>
      <c r="C114" t="s">
        <v>46</v>
      </c>
      <c r="D114" s="82" t="s">
        <v>343</v>
      </c>
      <c r="E114" s="82" t="s">
        <v>43</v>
      </c>
      <c r="F114" s="82" t="s">
        <v>166</v>
      </c>
      <c r="G114" s="82" t="s">
        <v>288</v>
      </c>
      <c r="H114" t="s">
        <v>288</v>
      </c>
      <c r="M114">
        <v>1</v>
      </c>
      <c r="O114" s="85">
        <v>6000</v>
      </c>
      <c r="P114" s="85">
        <f>MISUO[[#This Row],[سعر البيع ]]</f>
        <v>6000</v>
      </c>
      <c r="Q114" s="85">
        <f>IF(MISUO[[#This Row],[الحالة]]="تم التسليم",MISUO[[#This Row],[إجمالي البيع]],IF(MISUO[[#This Row],[الحالة]]="مرتجع",-MISUO[[#This Row],[إجمالي البيع]],0))</f>
        <v>6000</v>
      </c>
      <c r="R114" s="88" t="s">
        <v>336</v>
      </c>
      <c r="S114" s="89">
        <v>45615</v>
      </c>
      <c r="T114" s="89">
        <v>45631</v>
      </c>
      <c r="U114" s="89">
        <v>45616</v>
      </c>
      <c r="V114" s="89" t="str">
        <f>IF(OR(MISUO[[#This Row],[الحالة]]="مرفوض",MISUO[[#This Row],[الحالة]]="مرتجع"),"لم يتم",
IF(MISUO[[#This Row],[تاريخ التسليم]]&lt;=MISUO[[#This Row],[ميعاد التسليم]],"في الموعد","متأخر"))</f>
        <v>في الموعد</v>
      </c>
      <c r="W114" t="s">
        <v>289</v>
      </c>
      <c r="X114" s="82" t="s">
        <v>198</v>
      </c>
    </row>
    <row r="115" spans="1:24" x14ac:dyDescent="0.25">
      <c r="A115" s="82" t="s">
        <v>290</v>
      </c>
      <c r="B115" s="82" t="s">
        <v>346</v>
      </c>
      <c r="C115" t="s">
        <v>291</v>
      </c>
      <c r="D115" s="82" t="s">
        <v>340</v>
      </c>
      <c r="E115" s="82" t="s">
        <v>8</v>
      </c>
      <c r="F115" s="82" t="s">
        <v>292</v>
      </c>
      <c r="H115" t="s">
        <v>293</v>
      </c>
      <c r="M115">
        <v>1</v>
      </c>
      <c r="O115" s="85">
        <v>8449</v>
      </c>
      <c r="P115" s="85">
        <f>MISUO[[#This Row],[سعر البيع ]]</f>
        <v>8449</v>
      </c>
      <c r="Q115" s="85">
        <f>IF(MISUO[[#This Row],[الحالة]]="تم التسليم",MISUO[[#This Row],[إجمالي البيع]],IF(MISUO[[#This Row],[الحالة]]="مرتجع",-MISUO[[#This Row],[إجمالي البيع]],0))</f>
        <v>8449</v>
      </c>
      <c r="R115" s="88" t="s">
        <v>115</v>
      </c>
      <c r="S115" s="89">
        <v>45623</v>
      </c>
      <c r="T115" s="89">
        <v>45636</v>
      </c>
      <c r="U115" s="89">
        <v>45649</v>
      </c>
      <c r="V115" s="89" t="str">
        <f>IF(OR(MISUO[[#This Row],[الحالة]]="مرفوض",MISUO[[#This Row],[الحالة]]="مرتجع"),"لم يتم",
IF(MISUO[[#This Row],[تاريخ التسليم]]&lt;=MISUO[[#This Row],[ميعاد التسليم]],"في الموعد","متأخر"))</f>
        <v>متأخر</v>
      </c>
      <c r="W115" t="s">
        <v>28</v>
      </c>
      <c r="X115" s="82" t="s">
        <v>198</v>
      </c>
    </row>
    <row r="116" spans="1:24" x14ac:dyDescent="0.25">
      <c r="A116" s="82" t="s">
        <v>294</v>
      </c>
      <c r="B116" s="82" t="s">
        <v>346</v>
      </c>
      <c r="C116" t="s">
        <v>59</v>
      </c>
      <c r="D116" s="82" t="s">
        <v>343</v>
      </c>
      <c r="E116" s="82" t="s">
        <v>8</v>
      </c>
      <c r="F116" s="82" t="s">
        <v>292</v>
      </c>
      <c r="G116" s="82" t="s">
        <v>295</v>
      </c>
      <c r="H116" t="s">
        <v>296</v>
      </c>
      <c r="I116" t="s">
        <v>352</v>
      </c>
      <c r="M116">
        <v>1</v>
      </c>
      <c r="O116" s="85">
        <v>10249</v>
      </c>
      <c r="P116" s="85">
        <f>MISUO[[#This Row],[سعر البيع ]]</f>
        <v>10249</v>
      </c>
      <c r="Q116" s="85">
        <f>IF(MISUO[[#This Row],[الحالة]]="تم التسليم",MISUO[[#This Row],[إجمالي البيع]],IF(MISUO[[#This Row],[الحالة]]="مرتجع",-MISUO[[#This Row],[إجمالي البيع]],0))</f>
        <v>10249</v>
      </c>
      <c r="R116" s="88" t="s">
        <v>336</v>
      </c>
      <c r="S116" s="89">
        <v>45623</v>
      </c>
      <c r="T116" s="89">
        <v>45636</v>
      </c>
      <c r="U116" s="89">
        <v>45645</v>
      </c>
      <c r="V116" s="89" t="str">
        <f>IF(OR(MISUO[[#This Row],[الحالة]]="مرفوض",MISUO[[#This Row],[الحالة]]="مرتجع"),"لم يتم",
IF(MISUO[[#This Row],[تاريخ التسليم]]&lt;=MISUO[[#This Row],[ميعاد التسليم]],"في الموعد","متأخر"))</f>
        <v>متأخر</v>
      </c>
      <c r="W116" t="s">
        <v>199</v>
      </c>
      <c r="X116" s="82" t="s">
        <v>198</v>
      </c>
    </row>
    <row r="117" spans="1:24" hidden="1" x14ac:dyDescent="0.25">
      <c r="A117" s="82" t="s">
        <v>298</v>
      </c>
      <c r="B117" s="82" t="s">
        <v>346</v>
      </c>
      <c r="C117" t="s">
        <v>299</v>
      </c>
      <c r="D117" s="82" t="s">
        <v>340</v>
      </c>
      <c r="E117" s="82" t="s">
        <v>8</v>
      </c>
      <c r="F117" s="82" t="s">
        <v>150</v>
      </c>
      <c r="G117" s="82" t="s">
        <v>165</v>
      </c>
      <c r="H117" t="s">
        <v>154</v>
      </c>
      <c r="I117" t="s">
        <v>354</v>
      </c>
      <c r="J117" s="82">
        <v>100</v>
      </c>
      <c r="O117" s="85">
        <v>14905</v>
      </c>
      <c r="P117" s="85">
        <f>MISUO[[#This Row],[سعر البيع ]]</f>
        <v>14905</v>
      </c>
      <c r="Q117" s="85">
        <f>IF(MISUO[[#This Row],[الحالة]]="تم التسليم",MISUO[[#This Row],[إجمالي البيع]],IF(MISUO[[#This Row],[الحالة]]="مرتجع",-MISUO[[#This Row],[إجمالي البيع]],0))</f>
        <v>0</v>
      </c>
      <c r="R117" s="88" t="s">
        <v>115</v>
      </c>
      <c r="S117" s="89">
        <v>45625</v>
      </c>
      <c r="T117" s="89">
        <v>45641</v>
      </c>
      <c r="V117" s="89" t="str">
        <f>IF(OR(MISUO[[#This Row],[الحالة]]="مرفوض",MISUO[[#This Row],[الحالة]]="مرتجع"),"لم يتم",
IF(MISUO[[#This Row],[تاريخ التسليم]]&lt;=MISUO[[#This Row],[ميعاد التسليم]],"في الموعد","متأخر"))</f>
        <v>لم يتم</v>
      </c>
      <c r="X117" s="82" t="s">
        <v>333</v>
      </c>
    </row>
    <row r="118" spans="1:24" hidden="1" x14ac:dyDescent="0.25">
      <c r="A118" s="82" t="s">
        <v>300</v>
      </c>
      <c r="B118" s="82" t="s">
        <v>346</v>
      </c>
      <c r="C118" t="s">
        <v>67</v>
      </c>
      <c r="D118" s="82" t="s">
        <v>343</v>
      </c>
      <c r="E118" s="82" t="s">
        <v>8</v>
      </c>
      <c r="F118" s="82" t="s">
        <v>292</v>
      </c>
      <c r="G118" s="82" t="s">
        <v>295</v>
      </c>
      <c r="H118" t="s">
        <v>296</v>
      </c>
      <c r="I118" t="s">
        <v>354</v>
      </c>
      <c r="O118" s="85">
        <v>10249</v>
      </c>
      <c r="P118" s="85">
        <f>MISUO[[#This Row],[سعر البيع ]]</f>
        <v>10249</v>
      </c>
      <c r="Q118" s="85">
        <f>IF(MISUO[[#This Row],[الحالة]]="تم التسليم",MISUO[[#This Row],[إجمالي البيع]],IF(MISUO[[#This Row],[الحالة]]="مرتجع",-MISUO[[#This Row],[إجمالي البيع]],0))</f>
        <v>0</v>
      </c>
      <c r="R118" s="88" t="s">
        <v>115</v>
      </c>
      <c r="S118" s="89">
        <v>45626</v>
      </c>
      <c r="T118" s="89">
        <v>45638</v>
      </c>
      <c r="V118" s="89" t="str">
        <f>IF(OR(MISUO[[#This Row],[الحالة]]="مرفوض",MISUO[[#This Row],[الحالة]]="مرتجع"),"لم يتم",
IF(MISUO[[#This Row],[تاريخ التسليم]]&lt;=MISUO[[#This Row],[ميعاد التسليم]],"في الموعد","متأخر"))</f>
        <v>لم يتم</v>
      </c>
      <c r="X118" s="82" t="s">
        <v>333</v>
      </c>
    </row>
    <row r="119" spans="1:24" hidden="1" x14ac:dyDescent="0.25">
      <c r="A119" s="82" t="s">
        <v>303</v>
      </c>
      <c r="B119" s="82" t="s">
        <v>346</v>
      </c>
      <c r="C119" t="s">
        <v>67</v>
      </c>
      <c r="D119" s="82" t="s">
        <v>343</v>
      </c>
      <c r="E119" s="82" t="s">
        <v>8</v>
      </c>
      <c r="F119" s="82" t="s">
        <v>292</v>
      </c>
      <c r="G119" s="82" t="s">
        <v>189</v>
      </c>
      <c r="I119" t="s">
        <v>354</v>
      </c>
      <c r="O119" s="85">
        <v>9029</v>
      </c>
      <c r="P119" s="85">
        <f>MISUO[[#This Row],[سعر البيع ]]</f>
        <v>9029</v>
      </c>
      <c r="Q119" s="85">
        <f>IF(MISUO[[#This Row],[الحالة]]="تم التسليم",MISUO[[#This Row],[إجمالي البيع]],IF(MISUO[[#This Row],[الحالة]]="مرتجع",-MISUO[[#This Row],[إجمالي البيع]],0))</f>
        <v>0</v>
      </c>
      <c r="R119" s="88" t="s">
        <v>115</v>
      </c>
      <c r="S119" s="89">
        <v>45626</v>
      </c>
      <c r="T119" s="89">
        <v>45638</v>
      </c>
      <c r="V119" s="89" t="str">
        <f>IF(OR(MISUO[[#This Row],[الحالة]]="مرفوض",MISUO[[#This Row],[الحالة]]="مرتجع"),"لم يتم",
IF(MISUO[[#This Row],[تاريخ التسليم]]&lt;=MISUO[[#This Row],[ميعاد التسليم]],"في الموعد","متأخر"))</f>
        <v>لم يتم</v>
      </c>
      <c r="X119" s="82" t="s">
        <v>333</v>
      </c>
    </row>
    <row r="120" spans="1:24" hidden="1" x14ac:dyDescent="0.25">
      <c r="A120" s="82" t="s">
        <v>306</v>
      </c>
      <c r="B120" s="82" t="s">
        <v>346</v>
      </c>
      <c r="C120" t="s">
        <v>144</v>
      </c>
      <c r="D120" s="82" t="s">
        <v>212</v>
      </c>
      <c r="E120" s="82" t="s">
        <v>8</v>
      </c>
      <c r="F120" s="82" t="s">
        <v>292</v>
      </c>
      <c r="G120" s="82" t="s">
        <v>307</v>
      </c>
      <c r="I120" t="s">
        <v>354</v>
      </c>
      <c r="O120" s="85">
        <v>9029</v>
      </c>
      <c r="P120" s="85">
        <f>MISUO[[#This Row],[سعر البيع ]]</f>
        <v>9029</v>
      </c>
      <c r="Q120" s="85">
        <f>IF(MISUO[[#This Row],[الحالة]]="تم التسليم",MISUO[[#This Row],[إجمالي البيع]],IF(MISUO[[#This Row],[الحالة]]="مرتجع",-MISUO[[#This Row],[إجمالي البيع]],0))</f>
        <v>0</v>
      </c>
      <c r="R120" s="88" t="s">
        <v>115</v>
      </c>
      <c r="S120" s="89">
        <v>45626</v>
      </c>
      <c r="T120" s="89">
        <v>45638</v>
      </c>
      <c r="V120" s="89" t="str">
        <f>IF(OR(MISUO[[#This Row],[الحالة]]="مرفوض",MISUO[[#This Row],[الحالة]]="مرتجع"),"لم يتم",
IF(MISUO[[#This Row],[تاريخ التسليم]]&lt;=MISUO[[#This Row],[ميعاد التسليم]],"في الموعد","متأخر"))</f>
        <v>لم يتم</v>
      </c>
      <c r="X120" s="82" t="s">
        <v>333</v>
      </c>
    </row>
    <row r="121" spans="1:24" hidden="1" x14ac:dyDescent="0.25">
      <c r="A121" s="82" t="s">
        <v>309</v>
      </c>
      <c r="B121" s="82" t="s">
        <v>346</v>
      </c>
      <c r="C121" t="s">
        <v>310</v>
      </c>
      <c r="D121" s="82" t="s">
        <v>343</v>
      </c>
      <c r="E121" s="82" t="s">
        <v>8</v>
      </c>
      <c r="F121" s="82" t="s">
        <v>150</v>
      </c>
      <c r="G121" s="82" t="s">
        <v>273</v>
      </c>
      <c r="H121" t="s">
        <v>152</v>
      </c>
      <c r="I121" t="s">
        <v>352</v>
      </c>
      <c r="J121" s="82">
        <v>80</v>
      </c>
      <c r="O121" s="85">
        <v>12099</v>
      </c>
      <c r="P121" s="85">
        <f>MISUO[[#This Row],[سعر البيع ]]</f>
        <v>12099</v>
      </c>
      <c r="Q121" s="85">
        <f>IF(MISUO[[#This Row],[الحالة]]="تم التسليم",MISUO[[#This Row],[إجمالي البيع]],IF(MISUO[[#This Row],[الحالة]]="مرتجع",-MISUO[[#This Row],[إجمالي البيع]],0))</f>
        <v>0</v>
      </c>
      <c r="R121" s="88" t="s">
        <v>115</v>
      </c>
      <c r="S121" s="89">
        <v>45628</v>
      </c>
      <c r="T121" s="89">
        <v>45643</v>
      </c>
      <c r="V121" s="89" t="str">
        <f>IF(OR(MISUO[[#This Row],[الحالة]]="مرفوض",MISUO[[#This Row],[الحالة]]="مرتجع"),"لم يتم",
IF(MISUO[[#This Row],[تاريخ التسليم]]&lt;=MISUO[[#This Row],[ميعاد التسليم]],"في الموعد","متأخر"))</f>
        <v>لم يتم</v>
      </c>
      <c r="X121" s="82" t="s">
        <v>333</v>
      </c>
    </row>
    <row r="122" spans="1:24" x14ac:dyDescent="0.25">
      <c r="A122" s="82" t="s">
        <v>83</v>
      </c>
      <c r="B122" s="82" t="s">
        <v>347</v>
      </c>
      <c r="C122" t="s">
        <v>200</v>
      </c>
      <c r="D122" s="82" t="s">
        <v>339</v>
      </c>
      <c r="E122" s="82" t="s">
        <v>56</v>
      </c>
      <c r="F122" s="82" t="s">
        <v>150</v>
      </c>
      <c r="G122" s="82" t="s">
        <v>273</v>
      </c>
      <c r="H122" t="s">
        <v>154</v>
      </c>
      <c r="I122" t="s">
        <v>356</v>
      </c>
      <c r="J122" s="82">
        <v>90</v>
      </c>
      <c r="M122">
        <v>1</v>
      </c>
      <c r="O122" s="85">
        <v>5217</v>
      </c>
      <c r="P122" s="85">
        <f>MISUO[[#This Row],[سعر البيع ]]</f>
        <v>5217</v>
      </c>
      <c r="Q122" s="85">
        <f>IF(MISUO[[#This Row],[الحالة]]="تم التسليم",MISUO[[#This Row],[إجمالي البيع]],IF(MISUO[[#This Row],[الحالة]]="مرتجع",-MISUO[[#This Row],[إجمالي البيع]],0))</f>
        <v>5217</v>
      </c>
      <c r="R122" s="88" t="s">
        <v>85</v>
      </c>
      <c r="S122" s="89">
        <v>45627</v>
      </c>
      <c r="T122" s="89">
        <v>45640</v>
      </c>
      <c r="U122" s="89">
        <v>45636</v>
      </c>
      <c r="V122" s="89" t="str">
        <f>IF(OR(MISUO[[#This Row],[الحالة]]="مرفوض",MISUO[[#This Row],[الحالة]]="مرتجع"),"لم يتم",
IF(MISUO[[#This Row],[تاريخ التسليم]]&lt;=MISUO[[#This Row],[ميعاد التسليم]],"في الموعد","متأخر"))</f>
        <v>في الموعد</v>
      </c>
      <c r="W122" t="s">
        <v>199</v>
      </c>
      <c r="X122" s="82" t="s">
        <v>198</v>
      </c>
    </row>
    <row r="123" spans="1:24" x14ac:dyDescent="0.25">
      <c r="A123" s="82" t="s">
        <v>312</v>
      </c>
      <c r="B123" s="82" t="s">
        <v>346</v>
      </c>
      <c r="C123" t="s">
        <v>135</v>
      </c>
      <c r="D123" s="82" t="s">
        <v>343</v>
      </c>
      <c r="E123" s="82" t="s">
        <v>8</v>
      </c>
      <c r="F123" s="82" t="s">
        <v>150</v>
      </c>
      <c r="G123" s="82" t="s">
        <v>151</v>
      </c>
      <c r="I123" t="s">
        <v>354</v>
      </c>
      <c r="M123">
        <v>1</v>
      </c>
      <c r="O123" s="85">
        <v>10249</v>
      </c>
      <c r="P123" s="85">
        <f>MISUO[[#This Row],[سعر البيع ]]</f>
        <v>10249</v>
      </c>
      <c r="Q123" s="85">
        <f>IF(MISUO[[#This Row],[الحالة]]="تم التسليم",MISUO[[#This Row],[إجمالي البيع]],IF(MISUO[[#This Row],[الحالة]]="مرتجع",-MISUO[[#This Row],[إجمالي البيع]],0))</f>
        <v>10249</v>
      </c>
      <c r="R123" s="88" t="s">
        <v>336</v>
      </c>
      <c r="S123" s="89">
        <v>45630</v>
      </c>
      <c r="T123" s="89">
        <v>45640</v>
      </c>
      <c r="U123" s="89">
        <v>45645</v>
      </c>
      <c r="V123" s="89" t="str">
        <f>IF(OR(MISUO[[#This Row],[الحالة]]="مرفوض",MISUO[[#This Row],[الحالة]]="مرتجع"),"لم يتم",
IF(MISUO[[#This Row],[تاريخ التسليم]]&lt;=MISUO[[#This Row],[ميعاد التسليم]],"في الموعد","متأخر"))</f>
        <v>متأخر</v>
      </c>
      <c r="W123" t="s">
        <v>199</v>
      </c>
      <c r="X123" s="82" t="s">
        <v>198</v>
      </c>
    </row>
    <row r="124" spans="1:24" x14ac:dyDescent="0.25">
      <c r="A124" s="82" t="s">
        <v>313</v>
      </c>
      <c r="B124" s="82" t="s">
        <v>346</v>
      </c>
      <c r="C124" t="s">
        <v>314</v>
      </c>
      <c r="D124" s="82" t="s">
        <v>343</v>
      </c>
      <c r="E124" s="82" t="s">
        <v>52</v>
      </c>
      <c r="F124" s="82" t="s">
        <v>150</v>
      </c>
      <c r="G124" s="82" t="s">
        <v>165</v>
      </c>
      <c r="H124" t="s">
        <v>154</v>
      </c>
      <c r="I124" t="s">
        <v>354</v>
      </c>
      <c r="M124">
        <v>1</v>
      </c>
      <c r="O124" s="85">
        <v>10445</v>
      </c>
      <c r="P124" s="85">
        <f>MISUO[[#This Row],[سعر البيع ]]</f>
        <v>10445</v>
      </c>
      <c r="Q124" s="85">
        <f>IF(MISUO[[#This Row],[الحالة]]="تم التسليم",MISUO[[#This Row],[إجمالي البيع]],IF(MISUO[[#This Row],[الحالة]]="مرتجع",-MISUO[[#This Row],[إجمالي البيع]],0))</f>
        <v>10445</v>
      </c>
      <c r="R124" s="88" t="s">
        <v>336</v>
      </c>
      <c r="S124" s="89">
        <v>45635</v>
      </c>
      <c r="T124" s="89">
        <v>45657</v>
      </c>
      <c r="U124" s="89">
        <v>45638</v>
      </c>
      <c r="V124" s="89" t="str">
        <f>IF(OR(MISUO[[#This Row],[الحالة]]="مرفوض",MISUO[[#This Row],[الحالة]]="مرتجع"),"لم يتم",
IF(MISUO[[#This Row],[تاريخ التسليم]]&lt;=MISUO[[#This Row],[ميعاد التسليم]],"في الموعد","متأخر"))</f>
        <v>في الموعد</v>
      </c>
      <c r="W124" t="s">
        <v>199</v>
      </c>
      <c r="X124" s="82" t="s">
        <v>198</v>
      </c>
    </row>
    <row r="125" spans="1:24" x14ac:dyDescent="0.25">
      <c r="A125" s="82" t="s">
        <v>315</v>
      </c>
      <c r="B125" s="82" t="s">
        <v>346</v>
      </c>
      <c r="C125" t="s">
        <v>67</v>
      </c>
      <c r="D125" s="82" t="s">
        <v>343</v>
      </c>
      <c r="E125" s="82" t="s">
        <v>8</v>
      </c>
      <c r="F125" s="82" t="s">
        <v>292</v>
      </c>
      <c r="G125" s="82" t="s">
        <v>316</v>
      </c>
      <c r="H125" t="s">
        <v>296</v>
      </c>
      <c r="I125" t="s">
        <v>354</v>
      </c>
      <c r="M125">
        <v>1</v>
      </c>
      <c r="O125" s="85">
        <v>11199</v>
      </c>
      <c r="P125" s="85">
        <f>MISUO[[#This Row],[سعر البيع ]]</f>
        <v>11199</v>
      </c>
      <c r="Q125" s="85">
        <f>IF(MISUO[[#This Row],[الحالة]]="تم التسليم",MISUO[[#This Row],[إجمالي البيع]],IF(MISUO[[#This Row],[الحالة]]="مرتجع",-MISUO[[#This Row],[إجمالي البيع]],0))</f>
        <v>11199</v>
      </c>
      <c r="R125" s="88" t="s">
        <v>336</v>
      </c>
      <c r="S125" s="89">
        <v>45638</v>
      </c>
      <c r="T125" s="89">
        <v>45650</v>
      </c>
      <c r="U125" s="89">
        <v>45645</v>
      </c>
      <c r="V125" s="89" t="str">
        <f>IF(OR(MISUO[[#This Row],[الحالة]]="مرفوض",MISUO[[#This Row],[الحالة]]="مرتجع"),"لم يتم",
IF(MISUO[[#This Row],[تاريخ التسليم]]&lt;=MISUO[[#This Row],[ميعاد التسليم]],"في الموعد","متأخر"))</f>
        <v>في الموعد</v>
      </c>
      <c r="W125" t="s">
        <v>199</v>
      </c>
      <c r="X125" s="82" t="s">
        <v>198</v>
      </c>
    </row>
    <row r="126" spans="1:24" x14ac:dyDescent="0.25">
      <c r="A126" s="82" t="s">
        <v>317</v>
      </c>
      <c r="B126" s="82" t="s">
        <v>346</v>
      </c>
      <c r="C126" t="s">
        <v>278</v>
      </c>
      <c r="D126" s="82" t="s">
        <v>339</v>
      </c>
      <c r="E126" s="82" t="s">
        <v>8</v>
      </c>
      <c r="F126" s="82" t="s">
        <v>150</v>
      </c>
      <c r="G126" s="82" t="s">
        <v>165</v>
      </c>
      <c r="H126" t="s">
        <v>152</v>
      </c>
      <c r="I126" t="s">
        <v>354</v>
      </c>
      <c r="J126" s="82">
        <v>80</v>
      </c>
      <c r="M126">
        <v>1</v>
      </c>
      <c r="O126" s="85">
        <v>13099</v>
      </c>
      <c r="P126" s="85">
        <f>MISUO[[#This Row],[سعر البيع ]]</f>
        <v>13099</v>
      </c>
      <c r="Q126" s="85">
        <f>IF(MISUO[[#This Row],[الحالة]]="تم التسليم",MISUO[[#This Row],[إجمالي البيع]],IF(MISUO[[#This Row],[الحالة]]="مرتجع",-MISUO[[#This Row],[إجمالي البيع]],0))</f>
        <v>13099</v>
      </c>
      <c r="R126" s="88" t="s">
        <v>336</v>
      </c>
      <c r="S126" s="89">
        <v>45638</v>
      </c>
      <c r="T126" s="89">
        <v>45654</v>
      </c>
      <c r="U126" s="89">
        <v>45655</v>
      </c>
      <c r="V126" s="89" t="str">
        <f>IF(OR(MISUO[[#This Row],[الحالة]]="مرفوض",MISUO[[#This Row],[الحالة]]="مرتجع"),"لم يتم",
IF(MISUO[[#This Row],[تاريخ التسليم]]&lt;=MISUO[[#This Row],[ميعاد التسليم]],"في الموعد","متأخر"))</f>
        <v>متأخر</v>
      </c>
      <c r="W126" t="s">
        <v>199</v>
      </c>
      <c r="X126" s="82" t="s">
        <v>198</v>
      </c>
    </row>
    <row r="127" spans="1:24" x14ac:dyDescent="0.25">
      <c r="A127" s="82" t="s">
        <v>52</v>
      </c>
      <c r="B127" s="82" t="s">
        <v>347</v>
      </c>
      <c r="C127" t="s">
        <v>224</v>
      </c>
      <c r="D127" s="82"/>
      <c r="E127" s="82" t="s">
        <v>52</v>
      </c>
      <c r="F127" s="82" t="s">
        <v>166</v>
      </c>
      <c r="G127" s="82" t="s">
        <v>206</v>
      </c>
      <c r="H127" t="s">
        <v>258</v>
      </c>
      <c r="I127" t="s">
        <v>354</v>
      </c>
      <c r="M127">
        <v>1</v>
      </c>
      <c r="O127" s="85">
        <v>8700</v>
      </c>
      <c r="P127" s="85">
        <f>MISUO[[#This Row],[سعر البيع ]]</f>
        <v>8700</v>
      </c>
      <c r="Q127" s="85">
        <f>IF(MISUO[[#This Row],[الحالة]]="تم التسليم",MISUO[[#This Row],[إجمالي البيع]],IF(MISUO[[#This Row],[الحالة]]="مرتجع",-MISUO[[#This Row],[إجمالي البيع]],0))</f>
        <v>8700</v>
      </c>
      <c r="R127" s="82" t="s">
        <v>85</v>
      </c>
      <c r="S127" s="89">
        <v>45640</v>
      </c>
      <c r="T127" s="89">
        <v>45662</v>
      </c>
      <c r="U127" s="89">
        <v>45655</v>
      </c>
      <c r="V127" s="89" t="str">
        <f>IF(OR(MISUO[[#This Row],[الحالة]]="مرفوض",MISUO[[#This Row],[الحالة]]="مرتجع"),"لم يتم",
IF(MISUO[[#This Row],[تاريخ التسليم]]&lt;=MISUO[[#This Row],[ميعاد التسليم]],"في الموعد","متأخر"))</f>
        <v>في الموعد</v>
      </c>
      <c r="W127" t="s">
        <v>199</v>
      </c>
      <c r="X127" s="82" t="s">
        <v>198</v>
      </c>
    </row>
    <row r="128" spans="1:24" x14ac:dyDescent="0.25">
      <c r="D128" s="7"/>
      <c r="O128" s="86"/>
      <c r="P128" s="91"/>
      <c r="Q128" s="91"/>
    </row>
    <row r="129" spans="4:17" x14ac:dyDescent="0.25">
      <c r="D129" s="7"/>
      <c r="O129" s="86"/>
      <c r="P129" s="91"/>
      <c r="Q129" s="91"/>
    </row>
    <row r="130" spans="4:17" x14ac:dyDescent="0.25">
      <c r="D130" s="7"/>
      <c r="O130" s="86"/>
      <c r="P130" s="91"/>
      <c r="Q130" s="91"/>
    </row>
    <row r="131" spans="4:17" x14ac:dyDescent="0.25">
      <c r="D131" s="7"/>
      <c r="O131" s="86"/>
      <c r="P131" s="91"/>
      <c r="Q131" s="91"/>
    </row>
    <row r="132" spans="4:17" x14ac:dyDescent="0.25">
      <c r="D132" s="7"/>
      <c r="O132" s="86"/>
      <c r="P132" s="91"/>
      <c r="Q132" s="91"/>
    </row>
    <row r="133" spans="4:17" x14ac:dyDescent="0.25">
      <c r="D133" s="7"/>
      <c r="O133" s="86"/>
      <c r="P133" s="91"/>
      <c r="Q133" s="91"/>
    </row>
    <row r="134" spans="4:17" x14ac:dyDescent="0.25">
      <c r="D134" s="7"/>
      <c r="O134" s="86"/>
      <c r="P134" s="91"/>
      <c r="Q134" s="91"/>
    </row>
    <row r="135" spans="4:17" x14ac:dyDescent="0.25">
      <c r="D135" s="7"/>
      <c r="O135" s="86"/>
      <c r="P135" s="91"/>
      <c r="Q135" s="91"/>
    </row>
    <row r="136" spans="4:17" x14ac:dyDescent="0.25">
      <c r="D136" s="7"/>
      <c r="O136" s="86"/>
      <c r="P136" s="91"/>
      <c r="Q136" s="91"/>
    </row>
    <row r="137" spans="4:17" x14ac:dyDescent="0.25">
      <c r="D137" s="7"/>
      <c r="O137" s="86"/>
      <c r="P137" s="91"/>
      <c r="Q137" s="91"/>
    </row>
    <row r="138" spans="4:17" x14ac:dyDescent="0.25">
      <c r="D138" s="7"/>
      <c r="O138" s="86"/>
      <c r="P138" s="91"/>
      <c r="Q138" s="91"/>
    </row>
    <row r="139" spans="4:17" x14ac:dyDescent="0.25">
      <c r="D139" s="7"/>
      <c r="O139" s="86"/>
      <c r="P139" s="91"/>
      <c r="Q139" s="91"/>
    </row>
    <row r="140" spans="4:17" x14ac:dyDescent="0.25">
      <c r="D140" s="7"/>
      <c r="O140" s="86"/>
      <c r="P140" s="91"/>
      <c r="Q140" s="91"/>
    </row>
    <row r="141" spans="4:17" x14ac:dyDescent="0.25">
      <c r="D141" s="7"/>
      <c r="O141" s="86"/>
      <c r="P141" s="91"/>
      <c r="Q141" s="91"/>
    </row>
    <row r="142" spans="4:17" x14ac:dyDescent="0.25">
      <c r="D142" s="7"/>
      <c r="O142" s="86"/>
      <c r="P142" s="91"/>
      <c r="Q142" s="91"/>
    </row>
    <row r="143" spans="4:17" x14ac:dyDescent="0.25">
      <c r="D143" s="7"/>
      <c r="O143" s="86"/>
      <c r="P143" s="91"/>
      <c r="Q143" s="91"/>
    </row>
    <row r="144" spans="4:17" x14ac:dyDescent="0.25">
      <c r="D144" s="7"/>
      <c r="O144" s="86"/>
      <c r="P144" s="91"/>
      <c r="Q144" s="91"/>
    </row>
    <row r="145" spans="4:17" x14ac:dyDescent="0.25">
      <c r="D145" s="7"/>
      <c r="O145" s="86"/>
      <c r="P145" s="91"/>
      <c r="Q145" s="91"/>
    </row>
    <row r="146" spans="4:17" x14ac:dyDescent="0.25">
      <c r="D146" s="7"/>
      <c r="O146" s="86"/>
      <c r="P146" s="91"/>
      <c r="Q146" s="91"/>
    </row>
    <row r="147" spans="4:17" x14ac:dyDescent="0.25">
      <c r="D147" s="7"/>
      <c r="O147" s="86"/>
      <c r="P147" s="91"/>
      <c r="Q147" s="91"/>
    </row>
    <row r="148" spans="4:17" x14ac:dyDescent="0.25">
      <c r="D148" s="7"/>
      <c r="O148" s="86"/>
      <c r="P148" s="91"/>
      <c r="Q148" s="91"/>
    </row>
    <row r="149" spans="4:17" x14ac:dyDescent="0.25">
      <c r="D149" s="7"/>
      <c r="O149" s="86"/>
      <c r="P149" s="91"/>
      <c r="Q149" s="91"/>
    </row>
    <row r="150" spans="4:17" x14ac:dyDescent="0.25">
      <c r="D150" s="7"/>
      <c r="O150" s="86"/>
      <c r="P150" s="91"/>
      <c r="Q150" s="91"/>
    </row>
    <row r="151" spans="4:17" x14ac:dyDescent="0.25">
      <c r="D151" s="7"/>
      <c r="O151" s="86"/>
      <c r="P151" s="91"/>
      <c r="Q151" s="91"/>
    </row>
    <row r="152" spans="4:17" x14ac:dyDescent="0.25">
      <c r="D152" s="7"/>
      <c r="O152" s="86"/>
      <c r="P152" s="91"/>
      <c r="Q152" s="91"/>
    </row>
    <row r="153" spans="4:17" x14ac:dyDescent="0.25">
      <c r="D153" s="7"/>
      <c r="O153" s="86"/>
      <c r="P153" s="91"/>
      <c r="Q153" s="91"/>
    </row>
    <row r="154" spans="4:17" x14ac:dyDescent="0.25">
      <c r="D154" s="7"/>
      <c r="O154" s="86"/>
      <c r="P154" s="91"/>
      <c r="Q154" s="91"/>
    </row>
    <row r="155" spans="4:17" x14ac:dyDescent="0.25">
      <c r="D155" s="7"/>
      <c r="O155" s="86"/>
      <c r="P155" s="91"/>
      <c r="Q155" s="91"/>
    </row>
    <row r="156" spans="4:17" x14ac:dyDescent="0.25">
      <c r="D156" s="7"/>
      <c r="O156" s="86"/>
      <c r="P156" s="91"/>
      <c r="Q156" s="91"/>
    </row>
    <row r="157" spans="4:17" x14ac:dyDescent="0.25">
      <c r="D157" s="7"/>
      <c r="O157" s="86"/>
      <c r="P157" s="91"/>
      <c r="Q157" s="91"/>
    </row>
    <row r="158" spans="4:17" x14ac:dyDescent="0.25">
      <c r="D158" s="7"/>
      <c r="O158" s="86"/>
      <c r="P158" s="91"/>
      <c r="Q158" s="91"/>
    </row>
    <row r="159" spans="4:17" x14ac:dyDescent="0.25">
      <c r="D159" s="7"/>
      <c r="O159" s="86"/>
      <c r="P159" s="91"/>
      <c r="Q159" s="91"/>
    </row>
    <row r="160" spans="4:17" x14ac:dyDescent="0.25">
      <c r="D160" s="7"/>
      <c r="O160" s="86"/>
      <c r="P160" s="91"/>
      <c r="Q160" s="91"/>
    </row>
    <row r="161" spans="4:17" x14ac:dyDescent="0.25">
      <c r="D161" s="7"/>
      <c r="O161" s="86"/>
      <c r="P161" s="91"/>
      <c r="Q161" s="91"/>
    </row>
    <row r="162" spans="4:17" x14ac:dyDescent="0.25">
      <c r="D162" s="7"/>
      <c r="O162" s="86"/>
      <c r="P162" s="91"/>
      <c r="Q162" s="91"/>
    </row>
    <row r="163" spans="4:17" x14ac:dyDescent="0.25">
      <c r="D163" s="7"/>
      <c r="O163" s="86"/>
      <c r="P163" s="91"/>
      <c r="Q163" s="91"/>
    </row>
    <row r="164" spans="4:17" x14ac:dyDescent="0.25">
      <c r="D164" s="7"/>
      <c r="O164" s="86"/>
      <c r="P164" s="91"/>
      <c r="Q164" s="91"/>
    </row>
    <row r="165" spans="4:17" x14ac:dyDescent="0.25">
      <c r="D165" s="7"/>
      <c r="O165" s="86"/>
      <c r="P165" s="91"/>
      <c r="Q165" s="91"/>
    </row>
    <row r="166" spans="4:17" x14ac:dyDescent="0.25">
      <c r="D166" s="7"/>
      <c r="O166" s="86"/>
      <c r="P166" s="91"/>
      <c r="Q166" s="91"/>
    </row>
    <row r="167" spans="4:17" x14ac:dyDescent="0.25">
      <c r="D167" s="7"/>
      <c r="O167" s="86"/>
      <c r="P167" s="91"/>
      <c r="Q167" s="91"/>
    </row>
    <row r="168" spans="4:17" x14ac:dyDescent="0.25">
      <c r="D168" s="7"/>
      <c r="O168" s="86"/>
      <c r="P168" s="91"/>
      <c r="Q168" s="91"/>
    </row>
    <row r="169" spans="4:17" x14ac:dyDescent="0.25">
      <c r="D169" s="7"/>
      <c r="O169" s="86"/>
      <c r="P169" s="91"/>
      <c r="Q169" s="91"/>
    </row>
    <row r="170" spans="4:17" x14ac:dyDescent="0.25">
      <c r="D170" s="7"/>
      <c r="O170" s="86"/>
      <c r="P170" s="91"/>
      <c r="Q170" s="91"/>
    </row>
    <row r="171" spans="4:17" x14ac:dyDescent="0.25">
      <c r="D171" s="7"/>
      <c r="O171" s="86"/>
      <c r="P171" s="91"/>
      <c r="Q171" s="91"/>
    </row>
    <row r="172" spans="4:17" x14ac:dyDescent="0.25">
      <c r="D172" s="7"/>
      <c r="O172" s="86"/>
      <c r="P172" s="91"/>
      <c r="Q172" s="91"/>
    </row>
    <row r="173" spans="4:17" x14ac:dyDescent="0.25">
      <c r="D173" s="7"/>
      <c r="O173" s="86"/>
      <c r="P173" s="91"/>
      <c r="Q173" s="91"/>
    </row>
    <row r="174" spans="4:17" x14ac:dyDescent="0.25">
      <c r="D174" s="7"/>
      <c r="O174" s="86"/>
      <c r="P174" s="91"/>
      <c r="Q174" s="91"/>
    </row>
    <row r="175" spans="4:17" x14ac:dyDescent="0.25">
      <c r="D175" s="7"/>
      <c r="O175" s="86"/>
      <c r="P175" s="91"/>
      <c r="Q175" s="91"/>
    </row>
    <row r="176" spans="4:17" x14ac:dyDescent="0.25">
      <c r="D176" s="7"/>
      <c r="O176" s="86"/>
      <c r="P176" s="91"/>
      <c r="Q176" s="91"/>
    </row>
    <row r="177" spans="4:17" x14ac:dyDescent="0.25">
      <c r="D177" s="7"/>
      <c r="O177" s="86"/>
      <c r="P177" s="91"/>
      <c r="Q177" s="91"/>
    </row>
    <row r="178" spans="4:17" x14ac:dyDescent="0.25">
      <c r="D178" s="7"/>
      <c r="O178" s="86"/>
      <c r="P178" s="91"/>
      <c r="Q178" s="91"/>
    </row>
    <row r="179" spans="4:17" x14ac:dyDescent="0.25">
      <c r="D179" s="7"/>
      <c r="O179" s="86"/>
      <c r="P179" s="91"/>
      <c r="Q179" s="91"/>
    </row>
    <row r="180" spans="4:17" x14ac:dyDescent="0.25">
      <c r="D180" s="7"/>
      <c r="O180" s="86"/>
      <c r="P180" s="91"/>
      <c r="Q180" s="91"/>
    </row>
    <row r="181" spans="4:17" x14ac:dyDescent="0.25">
      <c r="D181" s="7"/>
      <c r="O181" s="86"/>
      <c r="P181" s="91"/>
      <c r="Q181" s="91"/>
    </row>
    <row r="182" spans="4:17" x14ac:dyDescent="0.25">
      <c r="D182" s="7"/>
      <c r="O182" s="86"/>
      <c r="P182" s="91"/>
      <c r="Q182" s="91"/>
    </row>
    <row r="183" spans="4:17" x14ac:dyDescent="0.25">
      <c r="D183" s="7"/>
      <c r="O183" s="86"/>
      <c r="P183" s="91"/>
      <c r="Q183" s="91"/>
    </row>
    <row r="184" spans="4:17" x14ac:dyDescent="0.25">
      <c r="D184" s="7"/>
      <c r="O184" s="86"/>
      <c r="P184" s="91"/>
      <c r="Q184" s="91"/>
    </row>
    <row r="185" spans="4:17" x14ac:dyDescent="0.25">
      <c r="D185" s="7"/>
      <c r="O185" s="86"/>
      <c r="P185" s="91"/>
      <c r="Q185" s="91"/>
    </row>
    <row r="186" spans="4:17" x14ac:dyDescent="0.25">
      <c r="D186" s="7"/>
      <c r="O186" s="86"/>
      <c r="P186" s="91"/>
      <c r="Q186" s="91"/>
    </row>
    <row r="187" spans="4:17" x14ac:dyDescent="0.25">
      <c r="D187" s="7"/>
      <c r="O187" s="86"/>
      <c r="P187" s="91"/>
      <c r="Q187" s="91"/>
    </row>
    <row r="188" spans="4:17" x14ac:dyDescent="0.25">
      <c r="D188" s="7"/>
      <c r="O188" s="86"/>
      <c r="P188" s="91"/>
      <c r="Q188" s="91"/>
    </row>
    <row r="189" spans="4:17" x14ac:dyDescent="0.25">
      <c r="D189" s="7"/>
      <c r="O189" s="86"/>
      <c r="P189" s="91"/>
      <c r="Q189" s="91"/>
    </row>
    <row r="190" spans="4:17" x14ac:dyDescent="0.25">
      <c r="D190" s="7"/>
      <c r="O190" s="86"/>
      <c r="P190" s="91"/>
      <c r="Q190" s="91"/>
    </row>
    <row r="191" spans="4:17" x14ac:dyDescent="0.25">
      <c r="D191" s="7"/>
      <c r="O191" s="86"/>
      <c r="P191" s="91"/>
      <c r="Q191" s="91"/>
    </row>
    <row r="192" spans="4:17" x14ac:dyDescent="0.25">
      <c r="D192" s="7"/>
      <c r="O192" s="86"/>
      <c r="P192" s="91"/>
      <c r="Q192" s="91"/>
    </row>
    <row r="193" spans="4:17" x14ac:dyDescent="0.25">
      <c r="D193" s="7"/>
      <c r="O193" s="86"/>
      <c r="P193" s="91"/>
      <c r="Q193" s="91"/>
    </row>
    <row r="194" spans="4:17" x14ac:dyDescent="0.25">
      <c r="D194" s="7"/>
      <c r="O194" s="86"/>
      <c r="P194" s="91"/>
      <c r="Q194" s="91"/>
    </row>
    <row r="195" spans="4:17" x14ac:dyDescent="0.25">
      <c r="D195" s="7"/>
      <c r="O195" s="86"/>
      <c r="P195" s="91"/>
      <c r="Q195" s="91"/>
    </row>
    <row r="196" spans="4:17" x14ac:dyDescent="0.25">
      <c r="D196" s="7"/>
      <c r="O196" s="86"/>
      <c r="P196" s="91"/>
      <c r="Q196" s="91"/>
    </row>
    <row r="197" spans="4:17" x14ac:dyDescent="0.25">
      <c r="D197" s="7"/>
      <c r="O197" s="86"/>
      <c r="P197" s="91"/>
      <c r="Q197" s="91"/>
    </row>
    <row r="198" spans="4:17" x14ac:dyDescent="0.25">
      <c r="D198" s="7"/>
      <c r="O198" s="86"/>
      <c r="P198" s="91"/>
      <c r="Q198" s="91"/>
    </row>
    <row r="199" spans="4:17" x14ac:dyDescent="0.25">
      <c r="D199" s="7"/>
      <c r="O199" s="86"/>
      <c r="P199" s="91"/>
      <c r="Q199" s="91"/>
    </row>
    <row r="200" spans="4:17" x14ac:dyDescent="0.25">
      <c r="D200" s="7"/>
      <c r="O200" s="86"/>
      <c r="P200" s="91"/>
      <c r="Q200" s="91"/>
    </row>
    <row r="201" spans="4:17" x14ac:dyDescent="0.25">
      <c r="D201" s="7"/>
      <c r="O201" s="86"/>
      <c r="P201" s="91"/>
      <c r="Q201" s="91"/>
    </row>
    <row r="202" spans="4:17" x14ac:dyDescent="0.25">
      <c r="D202" s="7"/>
      <c r="O202" s="86"/>
      <c r="P202" s="91"/>
      <c r="Q202" s="91"/>
    </row>
    <row r="203" spans="4:17" x14ac:dyDescent="0.25">
      <c r="D203" s="7"/>
      <c r="O203" s="86"/>
      <c r="P203" s="91"/>
      <c r="Q203" s="91"/>
    </row>
    <row r="204" spans="4:17" x14ac:dyDescent="0.25">
      <c r="D204" s="7"/>
      <c r="O204" s="86"/>
      <c r="P204" s="91"/>
      <c r="Q204" s="91"/>
    </row>
    <row r="205" spans="4:17" x14ac:dyDescent="0.25">
      <c r="D205" s="7"/>
      <c r="O205" s="86"/>
      <c r="P205" s="91"/>
      <c r="Q205" s="91"/>
    </row>
    <row r="206" spans="4:17" x14ac:dyDescent="0.25">
      <c r="D206" s="7"/>
      <c r="O206" s="86"/>
      <c r="P206" s="91"/>
      <c r="Q206" s="91"/>
    </row>
    <row r="207" spans="4:17" x14ac:dyDescent="0.25">
      <c r="D207" s="7"/>
      <c r="O207" s="86"/>
      <c r="P207" s="91"/>
      <c r="Q207" s="91"/>
    </row>
    <row r="208" spans="4:17" x14ac:dyDescent="0.25">
      <c r="D208" s="7"/>
      <c r="O208" s="86"/>
      <c r="P208" s="91"/>
      <c r="Q208" s="91"/>
    </row>
    <row r="209" spans="4:17" x14ac:dyDescent="0.25">
      <c r="D209" s="7"/>
      <c r="O209" s="86"/>
      <c r="P209" s="91"/>
      <c r="Q209" s="91"/>
    </row>
    <row r="210" spans="4:17" x14ac:dyDescent="0.25">
      <c r="D210" s="7"/>
      <c r="O210" s="86"/>
      <c r="P210" s="91"/>
      <c r="Q210" s="91"/>
    </row>
    <row r="211" spans="4:17" x14ac:dyDescent="0.25">
      <c r="D211" s="7"/>
      <c r="O211" s="86"/>
      <c r="P211" s="91"/>
      <c r="Q211" s="91"/>
    </row>
    <row r="212" spans="4:17" x14ac:dyDescent="0.25">
      <c r="D212" s="7"/>
      <c r="O212" s="86"/>
      <c r="P212" s="91"/>
      <c r="Q212" s="91"/>
    </row>
    <row r="213" spans="4:17" x14ac:dyDescent="0.25">
      <c r="D213" s="7"/>
      <c r="O213" s="86"/>
      <c r="P213" s="91"/>
      <c r="Q213" s="91"/>
    </row>
    <row r="214" spans="4:17" x14ac:dyDescent="0.25">
      <c r="D214" s="7"/>
      <c r="O214" s="86"/>
      <c r="P214" s="91"/>
      <c r="Q214" s="91"/>
    </row>
    <row r="215" spans="4:17" x14ac:dyDescent="0.25">
      <c r="D215" s="7"/>
      <c r="O215" s="86"/>
      <c r="P215" s="91"/>
      <c r="Q215" s="91"/>
    </row>
    <row r="216" spans="4:17" x14ac:dyDescent="0.25">
      <c r="D216" s="7"/>
      <c r="O216" s="86"/>
      <c r="P216" s="91"/>
      <c r="Q216" s="91"/>
    </row>
    <row r="217" spans="4:17" x14ac:dyDescent="0.25">
      <c r="D217" s="7"/>
      <c r="O217" s="86"/>
      <c r="P217" s="91"/>
      <c r="Q217" s="91"/>
    </row>
    <row r="218" spans="4:17" x14ac:dyDescent="0.25">
      <c r="D218" s="7"/>
      <c r="O218" s="86"/>
      <c r="P218" s="91"/>
      <c r="Q218" s="91"/>
    </row>
    <row r="219" spans="4:17" x14ac:dyDescent="0.25">
      <c r="D219" s="7"/>
      <c r="O219" s="86"/>
      <c r="P219" s="91"/>
      <c r="Q219" s="91"/>
    </row>
    <row r="220" spans="4:17" x14ac:dyDescent="0.25">
      <c r="D220" s="7"/>
      <c r="O220" s="86"/>
      <c r="P220" s="91"/>
      <c r="Q220" s="91"/>
    </row>
    <row r="221" spans="4:17" x14ac:dyDescent="0.25">
      <c r="D221" s="7"/>
      <c r="O221" s="86"/>
      <c r="P221" s="91"/>
      <c r="Q221" s="91"/>
    </row>
    <row r="222" spans="4:17" x14ac:dyDescent="0.25">
      <c r="D222" s="7"/>
      <c r="O222" s="86"/>
      <c r="P222" s="91"/>
      <c r="Q222" s="91"/>
    </row>
    <row r="223" spans="4:17" x14ac:dyDescent="0.25">
      <c r="D223" s="7"/>
      <c r="O223" s="86"/>
      <c r="P223" s="91"/>
      <c r="Q223" s="91"/>
    </row>
    <row r="224" spans="4:17" x14ac:dyDescent="0.25">
      <c r="D224" s="7"/>
      <c r="O224" s="86"/>
      <c r="P224" s="91"/>
      <c r="Q224" s="91"/>
    </row>
    <row r="225" spans="4:17" x14ac:dyDescent="0.25">
      <c r="D225" s="7"/>
      <c r="O225" s="86"/>
      <c r="P225" s="91"/>
      <c r="Q225" s="91"/>
    </row>
    <row r="226" spans="4:17" x14ac:dyDescent="0.25">
      <c r="D226" s="7"/>
      <c r="O226" s="86"/>
      <c r="P226" s="91"/>
      <c r="Q226" s="91"/>
    </row>
    <row r="227" spans="4:17" x14ac:dyDescent="0.25">
      <c r="D227" s="7"/>
      <c r="O227" s="86"/>
      <c r="P227" s="91"/>
      <c r="Q227" s="91"/>
    </row>
    <row r="228" spans="4:17" x14ac:dyDescent="0.25">
      <c r="D228" s="7"/>
      <c r="O228" s="86"/>
      <c r="P228" s="91"/>
      <c r="Q228" s="91"/>
    </row>
    <row r="229" spans="4:17" x14ac:dyDescent="0.25">
      <c r="D229" s="7"/>
      <c r="O229" s="86"/>
      <c r="P229" s="91"/>
      <c r="Q229" s="91"/>
    </row>
    <row r="230" spans="4:17" x14ac:dyDescent="0.25">
      <c r="D230" s="7"/>
      <c r="O230" s="86"/>
      <c r="P230" s="91"/>
      <c r="Q230" s="91"/>
    </row>
    <row r="231" spans="4:17" x14ac:dyDescent="0.25">
      <c r="D231" s="7"/>
      <c r="O231" s="86"/>
      <c r="P231" s="91"/>
      <c r="Q231" s="91"/>
    </row>
    <row r="232" spans="4:17" x14ac:dyDescent="0.25">
      <c r="D232" s="7"/>
      <c r="O232" s="86"/>
      <c r="P232" s="91"/>
      <c r="Q232" s="91"/>
    </row>
    <row r="233" spans="4:17" x14ac:dyDescent="0.25">
      <c r="D233" s="7"/>
      <c r="O233" s="86"/>
      <c r="P233" s="91"/>
      <c r="Q233" s="91"/>
    </row>
    <row r="234" spans="4:17" x14ac:dyDescent="0.25">
      <c r="D234" s="7"/>
      <c r="O234" s="86"/>
      <c r="P234" s="91"/>
      <c r="Q234" s="91"/>
    </row>
    <row r="235" spans="4:17" x14ac:dyDescent="0.25">
      <c r="D235" s="7"/>
      <c r="O235" s="86"/>
      <c r="P235" s="91"/>
      <c r="Q235" s="91"/>
    </row>
    <row r="236" spans="4:17" x14ac:dyDescent="0.25">
      <c r="D236" s="7"/>
      <c r="O236" s="86"/>
      <c r="P236" s="91"/>
      <c r="Q236" s="91"/>
    </row>
    <row r="237" spans="4:17" x14ac:dyDescent="0.25">
      <c r="D237" s="7"/>
      <c r="O237" s="86"/>
      <c r="P237" s="91"/>
      <c r="Q237" s="91"/>
    </row>
    <row r="238" spans="4:17" x14ac:dyDescent="0.25">
      <c r="D238" s="7"/>
      <c r="O238" s="86"/>
      <c r="P238" s="91"/>
      <c r="Q238" s="91"/>
    </row>
    <row r="239" spans="4:17" x14ac:dyDescent="0.25">
      <c r="D239" s="7"/>
      <c r="O239" s="86"/>
      <c r="P239" s="91"/>
      <c r="Q239" s="91"/>
    </row>
    <row r="240" spans="4:17" x14ac:dyDescent="0.25">
      <c r="D240" s="7"/>
      <c r="O240" s="86"/>
      <c r="P240" s="91"/>
      <c r="Q240" s="91"/>
    </row>
    <row r="241" spans="4:17" x14ac:dyDescent="0.25">
      <c r="D241" s="7"/>
      <c r="O241" s="86"/>
      <c r="P241" s="91"/>
      <c r="Q241" s="91"/>
    </row>
    <row r="242" spans="4:17" x14ac:dyDescent="0.25">
      <c r="D242" s="7"/>
      <c r="O242" s="86"/>
      <c r="P242" s="91"/>
      <c r="Q242" s="91"/>
    </row>
    <row r="243" spans="4:17" x14ac:dyDescent="0.25">
      <c r="D243" s="7"/>
      <c r="O243" s="86"/>
      <c r="P243" s="91"/>
      <c r="Q243" s="91"/>
    </row>
    <row r="244" spans="4:17" x14ac:dyDescent="0.25">
      <c r="D244" s="7"/>
      <c r="O244" s="86"/>
      <c r="P244" s="91"/>
      <c r="Q244" s="91"/>
    </row>
    <row r="245" spans="4:17" x14ac:dyDescent="0.25">
      <c r="D245" s="7"/>
      <c r="O245" s="86"/>
      <c r="P245" s="91"/>
      <c r="Q245" s="91"/>
    </row>
    <row r="246" spans="4:17" x14ac:dyDescent="0.25">
      <c r="D246" s="7"/>
      <c r="O246" s="86"/>
      <c r="P246" s="91"/>
      <c r="Q246" s="91"/>
    </row>
    <row r="247" spans="4:17" x14ac:dyDescent="0.25">
      <c r="D247" s="7"/>
      <c r="O247" s="86"/>
      <c r="P247" s="91"/>
      <c r="Q247" s="91"/>
    </row>
    <row r="248" spans="4:17" x14ac:dyDescent="0.25">
      <c r="D248" s="7"/>
      <c r="O248" s="86"/>
      <c r="P248" s="91"/>
      <c r="Q248" s="91"/>
    </row>
    <row r="249" spans="4:17" x14ac:dyDescent="0.25">
      <c r="D249" s="7"/>
      <c r="O249" s="86"/>
      <c r="P249" s="91"/>
      <c r="Q249" s="91"/>
    </row>
    <row r="250" spans="4:17" x14ac:dyDescent="0.25">
      <c r="D250" s="7"/>
      <c r="O250" s="86"/>
      <c r="P250" s="91"/>
      <c r="Q250" s="91"/>
    </row>
    <row r="251" spans="4:17" x14ac:dyDescent="0.25">
      <c r="D251" s="7"/>
      <c r="O251" s="86"/>
      <c r="P251" s="91"/>
      <c r="Q251" s="91"/>
    </row>
    <row r="252" spans="4:17" x14ac:dyDescent="0.25">
      <c r="D252" s="7"/>
      <c r="O252" s="86"/>
      <c r="P252" s="91"/>
      <c r="Q252" s="91"/>
    </row>
    <row r="253" spans="4:17" x14ac:dyDescent="0.25">
      <c r="D253" s="7"/>
      <c r="O253" s="86"/>
      <c r="P253" s="91"/>
      <c r="Q253" s="91"/>
    </row>
    <row r="254" spans="4:17" x14ac:dyDescent="0.25">
      <c r="D254" s="7"/>
      <c r="O254" s="86"/>
      <c r="P254" s="91"/>
      <c r="Q254" s="91"/>
    </row>
    <row r="255" spans="4:17" x14ac:dyDescent="0.25">
      <c r="D255" s="7"/>
      <c r="O255" s="86"/>
      <c r="P255" s="91"/>
      <c r="Q255" s="91"/>
    </row>
    <row r="256" spans="4:17" x14ac:dyDescent="0.25">
      <c r="D256" s="7"/>
      <c r="O256" s="86"/>
      <c r="P256" s="91"/>
      <c r="Q256" s="91"/>
    </row>
    <row r="257" spans="4:17" x14ac:dyDescent="0.25">
      <c r="D257" s="7"/>
      <c r="O257" s="86"/>
      <c r="P257" s="91"/>
      <c r="Q257" s="91"/>
    </row>
    <row r="258" spans="4:17" x14ac:dyDescent="0.25">
      <c r="D258" s="7"/>
      <c r="O258" s="86"/>
      <c r="P258" s="91"/>
      <c r="Q258" s="91"/>
    </row>
    <row r="259" spans="4:17" x14ac:dyDescent="0.25">
      <c r="D259" s="7"/>
      <c r="O259" s="86"/>
      <c r="P259" s="91"/>
      <c r="Q259" s="91"/>
    </row>
    <row r="260" spans="4:17" x14ac:dyDescent="0.25">
      <c r="D260" s="7"/>
      <c r="O260" s="86"/>
      <c r="P260" s="91"/>
      <c r="Q260" s="91"/>
    </row>
    <row r="261" spans="4:17" x14ac:dyDescent="0.25">
      <c r="D261" s="7"/>
      <c r="O261" s="86"/>
      <c r="P261" s="91"/>
      <c r="Q261" s="91"/>
    </row>
    <row r="262" spans="4:17" x14ac:dyDescent="0.25">
      <c r="D262" s="7"/>
      <c r="O262" s="86"/>
      <c r="P262" s="91"/>
      <c r="Q262" s="91"/>
    </row>
    <row r="263" spans="4:17" x14ac:dyDescent="0.25">
      <c r="D263" s="7"/>
      <c r="O263" s="86"/>
      <c r="P263" s="91"/>
      <c r="Q263" s="91"/>
    </row>
    <row r="264" spans="4:17" x14ac:dyDescent="0.25">
      <c r="D264" s="7"/>
      <c r="O264" s="86"/>
      <c r="P264" s="91"/>
      <c r="Q264" s="91"/>
    </row>
    <row r="265" spans="4:17" x14ac:dyDescent="0.25">
      <c r="D265" s="7"/>
      <c r="O265" s="86"/>
      <c r="P265" s="91"/>
      <c r="Q265" s="91"/>
    </row>
    <row r="266" spans="4:17" x14ac:dyDescent="0.25">
      <c r="D266" s="7"/>
      <c r="O266" s="86"/>
      <c r="P266" s="91"/>
      <c r="Q266" s="91"/>
    </row>
    <row r="267" spans="4:17" x14ac:dyDescent="0.25">
      <c r="D267" s="7"/>
      <c r="O267" s="86"/>
      <c r="P267" s="91"/>
      <c r="Q267" s="91"/>
    </row>
    <row r="268" spans="4:17" x14ac:dyDescent="0.25">
      <c r="D268" s="7"/>
      <c r="O268" s="86"/>
      <c r="P268" s="91"/>
      <c r="Q268" s="91"/>
    </row>
    <row r="269" spans="4:17" x14ac:dyDescent="0.25">
      <c r="D269" s="7"/>
      <c r="O269" s="86"/>
      <c r="P269" s="91"/>
      <c r="Q269" s="91"/>
    </row>
    <row r="270" spans="4:17" x14ac:dyDescent="0.25">
      <c r="D270" s="7"/>
      <c r="O270" s="86"/>
      <c r="P270" s="91"/>
      <c r="Q270" s="91"/>
    </row>
    <row r="271" spans="4:17" x14ac:dyDescent="0.25">
      <c r="D271" s="7"/>
      <c r="O271" s="86"/>
      <c r="P271" s="91"/>
      <c r="Q271" s="91"/>
    </row>
    <row r="272" spans="4:17" x14ac:dyDescent="0.25">
      <c r="D272" s="7"/>
      <c r="O272" s="86"/>
      <c r="P272" s="91"/>
      <c r="Q272" s="91"/>
    </row>
    <row r="273" spans="4:17" x14ac:dyDescent="0.25">
      <c r="D273" s="7"/>
      <c r="O273" s="86"/>
      <c r="P273" s="91"/>
      <c r="Q273" s="91"/>
    </row>
    <row r="274" spans="4:17" x14ac:dyDescent="0.25">
      <c r="D274" s="7"/>
      <c r="O274" s="86"/>
      <c r="P274" s="91"/>
      <c r="Q274" s="91"/>
    </row>
    <row r="275" spans="4:17" x14ac:dyDescent="0.25">
      <c r="D275" s="7"/>
      <c r="O275" s="86"/>
      <c r="P275" s="91"/>
      <c r="Q275" s="91"/>
    </row>
    <row r="276" spans="4:17" x14ac:dyDescent="0.25">
      <c r="D276" s="7"/>
      <c r="O276" s="86"/>
      <c r="P276" s="91"/>
      <c r="Q276" s="91"/>
    </row>
    <row r="277" spans="4:17" x14ac:dyDescent="0.25">
      <c r="D277" s="7"/>
      <c r="O277" s="86"/>
      <c r="P277" s="91"/>
      <c r="Q277" s="91"/>
    </row>
    <row r="278" spans="4:17" x14ac:dyDescent="0.25">
      <c r="D278" s="7"/>
      <c r="O278" s="86"/>
      <c r="P278" s="91"/>
      <c r="Q278" s="91"/>
    </row>
    <row r="279" spans="4:17" x14ac:dyDescent="0.25">
      <c r="D279" s="7"/>
      <c r="O279" s="86"/>
      <c r="P279" s="91"/>
      <c r="Q279" s="91"/>
    </row>
    <row r="280" spans="4:17" x14ac:dyDescent="0.25">
      <c r="D280" s="7"/>
      <c r="O280" s="86"/>
      <c r="P280" s="91"/>
      <c r="Q280" s="91"/>
    </row>
    <row r="281" spans="4:17" x14ac:dyDescent="0.25">
      <c r="D281" s="7"/>
      <c r="O281" s="86"/>
      <c r="P281" s="91"/>
      <c r="Q281" s="91"/>
    </row>
    <row r="282" spans="4:17" x14ac:dyDescent="0.25">
      <c r="D282" s="7"/>
      <c r="O282" s="86"/>
      <c r="P282" s="91"/>
      <c r="Q282" s="91"/>
    </row>
    <row r="283" spans="4:17" x14ac:dyDescent="0.25">
      <c r="D283" s="7"/>
      <c r="O283" s="86"/>
      <c r="P283" s="91"/>
      <c r="Q283" s="91"/>
    </row>
    <row r="284" spans="4:17" x14ac:dyDescent="0.25">
      <c r="D284" s="7"/>
      <c r="O284" s="86"/>
      <c r="P284" s="91"/>
      <c r="Q284" s="91"/>
    </row>
    <row r="285" spans="4:17" x14ac:dyDescent="0.25">
      <c r="D285" s="7"/>
      <c r="O285" s="86"/>
      <c r="P285" s="91"/>
      <c r="Q285" s="91"/>
    </row>
    <row r="286" spans="4:17" x14ac:dyDescent="0.25">
      <c r="D286" s="7"/>
      <c r="O286" s="86"/>
      <c r="P286" s="91"/>
      <c r="Q286" s="91"/>
    </row>
    <row r="287" spans="4:17" x14ac:dyDescent="0.25">
      <c r="D287" s="7"/>
      <c r="O287" s="86"/>
      <c r="P287" s="91"/>
      <c r="Q287" s="91"/>
    </row>
    <row r="288" spans="4:17" x14ac:dyDescent="0.25">
      <c r="D288" s="7"/>
      <c r="O288" s="86"/>
      <c r="P288" s="91"/>
      <c r="Q288" s="91"/>
    </row>
    <row r="289" spans="4:17" x14ac:dyDescent="0.25">
      <c r="D289" s="7"/>
      <c r="O289" s="86"/>
      <c r="P289" s="91"/>
      <c r="Q289" s="91"/>
    </row>
    <row r="290" spans="4:17" x14ac:dyDescent="0.25">
      <c r="D290" s="7"/>
      <c r="O290" s="86"/>
      <c r="P290" s="91"/>
      <c r="Q290" s="91"/>
    </row>
    <row r="291" spans="4:17" x14ac:dyDescent="0.25">
      <c r="D291" s="7"/>
      <c r="O291" s="86"/>
      <c r="P291" s="91"/>
      <c r="Q291" s="91"/>
    </row>
    <row r="292" spans="4:17" x14ac:dyDescent="0.25">
      <c r="D292" s="7"/>
      <c r="O292" s="86"/>
      <c r="P292" s="91"/>
      <c r="Q292" s="91"/>
    </row>
    <row r="293" spans="4:17" x14ac:dyDescent="0.25">
      <c r="D293" s="7"/>
      <c r="O293" s="86"/>
      <c r="P293" s="91"/>
      <c r="Q293" s="91"/>
    </row>
  </sheetData>
  <phoneticPr fontId="19" type="noConversion"/>
  <conditionalFormatting sqref="R3:R4 R6 R8 R10:R15 R17:R19 R21 R27:R28 R36:R37 R42:R43 R69 R73:R74 R76 R83 R86:R87 R91:R92 R94 R96:R100 R110 R112:R114 R116 R123:R126">
    <cfRule type="cellIs" dxfId="695" priority="1" operator="equal">
      <formula>" كاش "</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8C8D-4DF6-44D0-9113-8D99A50DB842}">
  <sheetPr>
    <tabColor theme="1"/>
  </sheetPr>
  <dimension ref="A1:AX38"/>
  <sheetViews>
    <sheetView workbookViewId="0">
      <selection activeCell="Z17" sqref="Z17"/>
    </sheetView>
  </sheetViews>
  <sheetFormatPr defaultRowHeight="15" x14ac:dyDescent="0.25"/>
  <cols>
    <col min="1" max="1" width="18.42578125" bestFit="1" customWidth="1"/>
    <col min="2" max="2" width="18.42578125" style="94" bestFit="1" customWidth="1"/>
    <col min="5" max="5" width="9.140625" style="110"/>
    <col min="7" max="7" width="17.7109375" bestFit="1" customWidth="1"/>
    <col min="10" max="10" width="9.140625" style="110"/>
    <col min="12" max="12" width="19" bestFit="1" customWidth="1"/>
    <col min="13" max="13" width="15.42578125" bestFit="1" customWidth="1"/>
    <col min="15" max="15" width="9.140625" style="110"/>
    <col min="17" max="17" width="13.140625" bestFit="1" customWidth="1"/>
    <col min="18" max="18" width="12.140625" bestFit="1" customWidth="1"/>
    <col min="19" max="19" width="18.140625" customWidth="1"/>
    <col min="20" max="20" width="9.140625" style="110"/>
    <col min="22" max="22" width="13.140625" bestFit="1" customWidth="1"/>
    <col min="23" max="23" width="12.140625" bestFit="1" customWidth="1"/>
    <col min="25" max="25" width="9.140625" style="110"/>
    <col min="27" max="27" width="13.140625" bestFit="1" customWidth="1"/>
    <col min="28" max="28" width="12.140625" bestFit="1" customWidth="1"/>
    <col min="30" max="30" width="7.7109375" style="110" customWidth="1"/>
    <col min="32" max="32" width="13.140625" bestFit="1" customWidth="1"/>
    <col min="33" max="33" width="22.28515625" bestFit="1" customWidth="1"/>
    <col min="34" max="34" width="32.140625" customWidth="1"/>
    <col min="35" max="35" width="9.140625" style="110"/>
    <col min="37" max="37" width="13.140625" bestFit="1" customWidth="1"/>
    <col min="38" max="38" width="13.5703125" bestFit="1" customWidth="1"/>
    <col min="40" max="40" width="9.140625" style="110"/>
    <col min="42" max="42" width="13.140625" bestFit="1" customWidth="1"/>
    <col min="43" max="43" width="12.140625" bestFit="1" customWidth="1"/>
    <col min="45" max="45" width="7.7109375" style="110" customWidth="1"/>
    <col min="47" max="47" width="13.140625" bestFit="1" customWidth="1"/>
    <col min="48" max="48" width="17.7109375" bestFit="1" customWidth="1"/>
    <col min="49" max="49" width="22" customWidth="1"/>
    <col min="50" max="50" width="7.7109375" style="110" customWidth="1"/>
  </cols>
  <sheetData>
    <row r="1" spans="1:49" ht="15" customHeight="1" x14ac:dyDescent="0.25">
      <c r="A1" s="111" t="s">
        <v>416</v>
      </c>
      <c r="B1" s="112"/>
      <c r="C1" s="112"/>
      <c r="D1" s="112"/>
      <c r="F1" s="111" t="s">
        <v>417</v>
      </c>
      <c r="G1" s="112"/>
      <c r="H1" s="112"/>
      <c r="I1" s="112"/>
      <c r="K1" s="111" t="s">
        <v>418</v>
      </c>
      <c r="L1" s="112"/>
      <c r="M1" s="112"/>
      <c r="N1" s="112"/>
      <c r="P1" s="111" t="s">
        <v>420</v>
      </c>
      <c r="Q1" s="112"/>
      <c r="R1" s="112"/>
      <c r="S1" s="112"/>
      <c r="U1" s="111" t="s">
        <v>421</v>
      </c>
      <c r="V1" s="112"/>
      <c r="W1" s="112"/>
      <c r="X1" s="112"/>
      <c r="Z1" s="111" t="s">
        <v>422</v>
      </c>
      <c r="AA1" s="112"/>
      <c r="AB1" s="112"/>
      <c r="AC1" s="112"/>
      <c r="AE1" s="111" t="s">
        <v>423</v>
      </c>
      <c r="AF1" s="112"/>
      <c r="AG1" s="112"/>
      <c r="AH1" s="112"/>
      <c r="AJ1" s="111" t="s">
        <v>426</v>
      </c>
      <c r="AK1" s="112"/>
      <c r="AL1" s="112"/>
      <c r="AM1" s="112"/>
      <c r="AO1" s="111" t="s">
        <v>428</v>
      </c>
      <c r="AP1" s="112"/>
      <c r="AQ1" s="112"/>
      <c r="AR1" s="112"/>
      <c r="AT1" s="111" t="s">
        <v>429</v>
      </c>
      <c r="AU1" s="112"/>
      <c r="AV1" s="112"/>
      <c r="AW1" s="112"/>
    </row>
    <row r="2" spans="1:49" x14ac:dyDescent="0.25">
      <c r="A2" s="112"/>
      <c r="B2" s="112"/>
      <c r="C2" s="112"/>
      <c r="D2" s="112"/>
      <c r="F2" s="112"/>
      <c r="G2" s="112"/>
      <c r="H2" s="112"/>
      <c r="I2" s="112"/>
      <c r="K2" s="112"/>
      <c r="L2" s="112"/>
      <c r="M2" s="112"/>
      <c r="N2" s="112"/>
      <c r="P2" s="112"/>
      <c r="Q2" s="112"/>
      <c r="R2" s="112"/>
      <c r="S2" s="112"/>
      <c r="U2" s="112"/>
      <c r="V2" s="112"/>
      <c r="W2" s="112"/>
      <c r="X2" s="112"/>
      <c r="Z2" s="112"/>
      <c r="AA2" s="112"/>
      <c r="AB2" s="112"/>
      <c r="AC2" s="112"/>
      <c r="AE2" s="112"/>
      <c r="AF2" s="112"/>
      <c r="AG2" s="112"/>
      <c r="AH2" s="112"/>
      <c r="AJ2" s="112"/>
      <c r="AK2" s="112"/>
      <c r="AL2" s="112"/>
      <c r="AM2" s="112"/>
      <c r="AO2" s="112"/>
      <c r="AP2" s="112"/>
      <c r="AQ2" s="112"/>
      <c r="AR2" s="112"/>
      <c r="AT2" s="112"/>
      <c r="AU2" s="112"/>
      <c r="AV2" s="112"/>
      <c r="AW2" s="112"/>
    </row>
    <row r="3" spans="1:49" x14ac:dyDescent="0.25">
      <c r="A3" s="112"/>
      <c r="B3" s="112"/>
      <c r="C3" s="112"/>
      <c r="D3" s="112"/>
      <c r="F3" s="112"/>
      <c r="G3" s="112"/>
      <c r="H3" s="112"/>
      <c r="I3" s="112"/>
      <c r="K3" s="112"/>
      <c r="L3" s="112"/>
      <c r="M3" s="112"/>
      <c r="N3" s="112"/>
      <c r="P3" s="112"/>
      <c r="Q3" s="112"/>
      <c r="R3" s="112"/>
      <c r="S3" s="112"/>
      <c r="U3" s="112"/>
      <c r="V3" s="112"/>
      <c r="W3" s="112"/>
      <c r="X3" s="112"/>
      <c r="Z3" s="112"/>
      <c r="AA3" s="112"/>
      <c r="AB3" s="112"/>
      <c r="AC3" s="112"/>
      <c r="AE3" s="112"/>
      <c r="AF3" s="112"/>
      <c r="AG3" s="112"/>
      <c r="AH3" s="112"/>
      <c r="AJ3" s="112"/>
      <c r="AK3" s="112"/>
      <c r="AL3" s="112"/>
      <c r="AM3" s="112"/>
      <c r="AO3" s="112"/>
      <c r="AP3" s="112"/>
      <c r="AQ3" s="112"/>
      <c r="AR3" s="112"/>
      <c r="AT3" s="112"/>
      <c r="AU3" s="112"/>
      <c r="AV3" s="112"/>
      <c r="AW3" s="112"/>
    </row>
    <row r="4" spans="1:49" x14ac:dyDescent="0.25">
      <c r="AF4" s="92" t="s">
        <v>190</v>
      </c>
      <c r="AG4" t="s">
        <v>333</v>
      </c>
    </row>
    <row r="5" spans="1:49" x14ac:dyDescent="0.25">
      <c r="AA5" s="92" t="s">
        <v>414</v>
      </c>
      <c r="AB5" t="s">
        <v>412</v>
      </c>
    </row>
    <row r="6" spans="1:49" x14ac:dyDescent="0.25">
      <c r="B6" s="94" t="s">
        <v>411</v>
      </c>
      <c r="G6" t="s">
        <v>413</v>
      </c>
      <c r="L6" t="s">
        <v>419</v>
      </c>
      <c r="Q6" s="92" t="s">
        <v>414</v>
      </c>
      <c r="R6" t="s">
        <v>412</v>
      </c>
      <c r="V6" s="92" t="s">
        <v>414</v>
      </c>
      <c r="W6" t="s">
        <v>412</v>
      </c>
      <c r="AA6" s="93" t="s">
        <v>354</v>
      </c>
      <c r="AB6" s="113">
        <v>2</v>
      </c>
      <c r="AF6" s="92" t="s">
        <v>414</v>
      </c>
      <c r="AG6" t="s">
        <v>425</v>
      </c>
      <c r="AK6" s="92" t="s">
        <v>414</v>
      </c>
      <c r="AL6" t="s">
        <v>427</v>
      </c>
      <c r="AP6" s="92" t="s">
        <v>414</v>
      </c>
      <c r="AQ6" t="s">
        <v>412</v>
      </c>
      <c r="AU6" s="92" t="s">
        <v>414</v>
      </c>
      <c r="AV6" t="s">
        <v>413</v>
      </c>
    </row>
    <row r="7" spans="1:49" x14ac:dyDescent="0.25">
      <c r="B7" s="95">
        <v>0</v>
      </c>
      <c r="G7" s="113">
        <v>2</v>
      </c>
      <c r="L7" s="96">
        <v>9626.5</v>
      </c>
      <c r="Q7" s="93" t="s">
        <v>52</v>
      </c>
      <c r="R7" s="113">
        <v>2</v>
      </c>
      <c r="V7" s="93" t="s">
        <v>150</v>
      </c>
      <c r="W7" s="113">
        <v>2</v>
      </c>
      <c r="AA7" s="93" t="s">
        <v>415</v>
      </c>
      <c r="AB7" s="113">
        <v>2</v>
      </c>
      <c r="AF7" s="93" t="s">
        <v>430</v>
      </c>
      <c r="AG7" s="97">
        <v>1</v>
      </c>
      <c r="AK7" s="93" t="s">
        <v>333</v>
      </c>
      <c r="AL7" s="98">
        <v>1</v>
      </c>
      <c r="AP7" s="93" t="s">
        <v>415</v>
      </c>
      <c r="AQ7" s="113"/>
      <c r="AU7" s="93" t="s">
        <v>347</v>
      </c>
      <c r="AV7" s="113">
        <v>2</v>
      </c>
    </row>
    <row r="8" spans="1:49" x14ac:dyDescent="0.25">
      <c r="B8"/>
      <c r="Q8" s="93" t="s">
        <v>415</v>
      </c>
      <c r="R8" s="113">
        <v>2</v>
      </c>
      <c r="V8" s="93" t="s">
        <v>415</v>
      </c>
      <c r="W8" s="113">
        <v>2</v>
      </c>
      <c r="AF8" s="93" t="s">
        <v>415</v>
      </c>
      <c r="AG8" s="97">
        <v>1</v>
      </c>
      <c r="AK8" s="93" t="s">
        <v>415</v>
      </c>
      <c r="AL8" s="97">
        <v>1</v>
      </c>
      <c r="AU8" s="93" t="s">
        <v>415</v>
      </c>
      <c r="AV8" s="113">
        <v>2</v>
      </c>
    </row>
    <row r="9" spans="1:49" x14ac:dyDescent="0.25">
      <c r="B9" s="100">
        <f>GETPIVOTDATA("صافي المبيعات",$B$6)</f>
        <v>0</v>
      </c>
      <c r="G9">
        <f>GETPIVOTDATA("أسم العميل",$G$6)</f>
        <v>2</v>
      </c>
      <c r="L9" s="96">
        <f>GETPIVOTDATA("سعر البيع ",$L$6)</f>
        <v>9626.5</v>
      </c>
    </row>
    <row r="10" spans="1:49" x14ac:dyDescent="0.25">
      <c r="B10"/>
    </row>
    <row r="11" spans="1:49" x14ac:dyDescent="0.25">
      <c r="B11"/>
    </row>
    <row r="12" spans="1:49" x14ac:dyDescent="0.25">
      <c r="B12"/>
    </row>
    <row r="13" spans="1:49" x14ac:dyDescent="0.25">
      <c r="B13"/>
      <c r="AU13" s="101"/>
      <c r="AV13" s="102"/>
      <c r="AW13" s="103"/>
    </row>
    <row r="14" spans="1:49" x14ac:dyDescent="0.25">
      <c r="B14"/>
      <c r="AU14" s="104"/>
      <c r="AV14" s="105"/>
      <c r="AW14" s="106"/>
    </row>
    <row r="15" spans="1:49" x14ac:dyDescent="0.25">
      <c r="B15"/>
      <c r="AU15" s="104"/>
      <c r="AV15" s="105"/>
      <c r="AW15" s="106"/>
    </row>
    <row r="16" spans="1:49" x14ac:dyDescent="0.25">
      <c r="B16"/>
      <c r="AU16" s="104"/>
      <c r="AV16" s="105"/>
      <c r="AW16" s="106"/>
    </row>
    <row r="17" spans="2:49" x14ac:dyDescent="0.25">
      <c r="B17"/>
      <c r="AU17" s="104"/>
      <c r="AV17" s="105"/>
      <c r="AW17" s="106"/>
    </row>
    <row r="18" spans="2:49" x14ac:dyDescent="0.25">
      <c r="B18"/>
      <c r="AU18" s="104"/>
      <c r="AV18" s="105"/>
      <c r="AW18" s="106"/>
    </row>
    <row r="19" spans="2:49" x14ac:dyDescent="0.25">
      <c r="B19"/>
      <c r="V19" s="101"/>
      <c r="W19" s="102"/>
      <c r="X19" s="103"/>
      <c r="AU19" s="104"/>
      <c r="AV19" s="105"/>
      <c r="AW19" s="106"/>
    </row>
    <row r="20" spans="2:49" x14ac:dyDescent="0.25">
      <c r="B20"/>
      <c r="V20" s="104"/>
      <c r="W20" s="105"/>
      <c r="X20" s="106"/>
      <c r="AU20" s="104"/>
      <c r="AV20" s="105"/>
      <c r="AW20" s="106"/>
    </row>
    <row r="21" spans="2:49" x14ac:dyDescent="0.25">
      <c r="B21"/>
      <c r="V21" s="104"/>
      <c r="W21" s="105"/>
      <c r="X21" s="106"/>
      <c r="AA21" s="101"/>
      <c r="AB21" s="102"/>
      <c r="AC21" s="103"/>
      <c r="AU21" s="104"/>
      <c r="AV21" s="105"/>
      <c r="AW21" s="106"/>
    </row>
    <row r="22" spans="2:49" x14ac:dyDescent="0.25">
      <c r="B22"/>
      <c r="V22" s="104"/>
      <c r="W22" s="105"/>
      <c r="X22" s="106"/>
      <c r="AA22" s="104"/>
      <c r="AB22" s="105"/>
      <c r="AC22" s="106"/>
      <c r="AU22" s="104"/>
      <c r="AV22" s="105"/>
      <c r="AW22" s="106"/>
    </row>
    <row r="23" spans="2:49" x14ac:dyDescent="0.25">
      <c r="B23"/>
      <c r="V23" s="104"/>
      <c r="W23" s="105"/>
      <c r="X23" s="106"/>
      <c r="AA23" s="104"/>
      <c r="AB23" s="105"/>
      <c r="AC23" s="106"/>
      <c r="AU23" s="104"/>
      <c r="AV23" s="105"/>
      <c r="AW23" s="106"/>
    </row>
    <row r="24" spans="2:49" x14ac:dyDescent="0.25">
      <c r="V24" s="104"/>
      <c r="W24" s="105"/>
      <c r="X24" s="106"/>
      <c r="AA24" s="104"/>
      <c r="AB24" s="105"/>
      <c r="AC24" s="106"/>
      <c r="AU24" s="104"/>
      <c r="AV24" s="105"/>
      <c r="AW24" s="106"/>
    </row>
    <row r="25" spans="2:49" x14ac:dyDescent="0.25">
      <c r="V25" s="104"/>
      <c r="W25" s="105"/>
      <c r="X25" s="106"/>
      <c r="AA25" s="104"/>
      <c r="AB25" s="105"/>
      <c r="AC25" s="106"/>
      <c r="AU25" s="104"/>
      <c r="AV25" s="105"/>
      <c r="AW25" s="106"/>
    </row>
    <row r="26" spans="2:49" x14ac:dyDescent="0.25">
      <c r="V26" s="104"/>
      <c r="W26" s="105"/>
      <c r="X26" s="106"/>
      <c r="AA26" s="104"/>
      <c r="AB26" s="105"/>
      <c r="AC26" s="106"/>
      <c r="AU26" s="104"/>
      <c r="AV26" s="105"/>
      <c r="AW26" s="106"/>
    </row>
    <row r="27" spans="2:49" x14ac:dyDescent="0.25">
      <c r="V27" s="104"/>
      <c r="W27" s="105"/>
      <c r="X27" s="106"/>
      <c r="AA27" s="104"/>
      <c r="AB27" s="105"/>
      <c r="AC27" s="106"/>
      <c r="AU27" s="104"/>
      <c r="AV27" s="105"/>
      <c r="AW27" s="106"/>
    </row>
    <row r="28" spans="2:49" x14ac:dyDescent="0.25">
      <c r="V28" s="104"/>
      <c r="W28" s="105"/>
      <c r="X28" s="106"/>
      <c r="AA28" s="104"/>
      <c r="AB28" s="105"/>
      <c r="AC28" s="106"/>
      <c r="AU28" s="104"/>
      <c r="AV28" s="105"/>
      <c r="AW28" s="106"/>
    </row>
    <row r="29" spans="2:49" x14ac:dyDescent="0.25">
      <c r="V29" s="104"/>
      <c r="W29" s="105"/>
      <c r="X29" s="106"/>
      <c r="AA29" s="104"/>
      <c r="AB29" s="105"/>
      <c r="AC29" s="106"/>
      <c r="AU29" s="104"/>
      <c r="AV29" s="105"/>
      <c r="AW29" s="106"/>
    </row>
    <row r="30" spans="2:49" x14ac:dyDescent="0.25">
      <c r="V30" s="104"/>
      <c r="W30" s="105"/>
      <c r="X30" s="106"/>
      <c r="AA30" s="104"/>
      <c r="AB30" s="105"/>
      <c r="AC30" s="106"/>
      <c r="AU30" s="107"/>
      <c r="AV30" s="108"/>
      <c r="AW30" s="109"/>
    </row>
    <row r="31" spans="2:49" x14ac:dyDescent="0.25">
      <c r="V31" s="104"/>
      <c r="W31" s="105"/>
      <c r="X31" s="106"/>
      <c r="AA31" s="104"/>
      <c r="AB31" s="105"/>
      <c r="AC31" s="106"/>
    </row>
    <row r="32" spans="2:49" x14ac:dyDescent="0.25">
      <c r="V32" s="104"/>
      <c r="W32" s="105"/>
      <c r="X32" s="106"/>
      <c r="AA32" s="104"/>
      <c r="AB32" s="105"/>
      <c r="AC32" s="106"/>
    </row>
    <row r="33" spans="22:29" x14ac:dyDescent="0.25">
      <c r="V33" s="104"/>
      <c r="W33" s="105"/>
      <c r="X33" s="106"/>
      <c r="AA33" s="104"/>
      <c r="AB33" s="105"/>
      <c r="AC33" s="106"/>
    </row>
    <row r="34" spans="22:29" x14ac:dyDescent="0.25">
      <c r="V34" s="104"/>
      <c r="W34" s="105"/>
      <c r="X34" s="106"/>
      <c r="AA34" s="104"/>
      <c r="AB34" s="105"/>
      <c r="AC34" s="106"/>
    </row>
    <row r="35" spans="22:29" x14ac:dyDescent="0.25">
      <c r="V35" s="104"/>
      <c r="W35" s="105"/>
      <c r="X35" s="106"/>
      <c r="AA35" s="104"/>
      <c r="AB35" s="105"/>
      <c r="AC35" s="106"/>
    </row>
    <row r="36" spans="22:29" x14ac:dyDescent="0.25">
      <c r="V36" s="107"/>
      <c r="W36" s="108"/>
      <c r="X36" s="109"/>
      <c r="AA36" s="104"/>
      <c r="AB36" s="105"/>
      <c r="AC36" s="106"/>
    </row>
    <row r="37" spans="22:29" x14ac:dyDescent="0.25">
      <c r="AA37" s="104"/>
      <c r="AB37" s="105"/>
      <c r="AC37" s="106"/>
    </row>
    <row r="38" spans="22:29" x14ac:dyDescent="0.25">
      <c r="AA38" s="107"/>
      <c r="AB38" s="108"/>
      <c r="AC38" s="109"/>
    </row>
  </sheetData>
  <mergeCells count="20">
    <mergeCell ref="AN1:AN1048576"/>
    <mergeCell ref="AO1:AR3"/>
    <mergeCell ref="O1:O1048576"/>
    <mergeCell ref="AT1:AW3"/>
    <mergeCell ref="AX1:AX1048576"/>
    <mergeCell ref="A1:D3"/>
    <mergeCell ref="E1:E1048576"/>
    <mergeCell ref="F1:I3"/>
    <mergeCell ref="J1:J1048576"/>
    <mergeCell ref="K1:N3"/>
    <mergeCell ref="AS1:AS1048576"/>
    <mergeCell ref="P1:S3"/>
    <mergeCell ref="T1:T1048576"/>
    <mergeCell ref="U1:X3"/>
    <mergeCell ref="Y1:Y1048576"/>
    <mergeCell ref="Z1:AC3"/>
    <mergeCell ref="AD1:AD1048576"/>
    <mergeCell ref="AE1:AH3"/>
    <mergeCell ref="AI1:AI1048576"/>
    <mergeCell ref="AJ1:AM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96BB-E6A2-4466-B621-857C641F9CA2}">
  <dimension ref="A1:Y32"/>
  <sheetViews>
    <sheetView showGridLines="0" showRowColHeaders="0" tabSelected="1" zoomScale="84" zoomScaleNormal="84" workbookViewId="0">
      <selection activeCell="D32" sqref="D32"/>
    </sheetView>
  </sheetViews>
  <sheetFormatPr defaultColWidth="0" defaultRowHeight="15" zeroHeight="1" x14ac:dyDescent="0.25"/>
  <cols>
    <col min="1" max="25" width="9.140625" style="99" customWidth="1"/>
    <col min="26" max="16384" width="9.140625" style="99"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6B7D56-CE1A-449A-80B5-A4993AAF91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البيانات</vt:lpstr>
      <vt:lpstr>الارشادات</vt:lpstr>
      <vt:lpstr>cleand_data</vt:lpstr>
      <vt:lpstr>MISUO_pivot</vt:lpstr>
      <vt:lpstr>MISUO_Dashboard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Administrator</cp:lastModifiedBy>
  <dcterms:created xsi:type="dcterms:W3CDTF">2015-06-05T18:17:20Z</dcterms:created>
  <dcterms:modified xsi:type="dcterms:W3CDTF">2026-07-10T03:51:35Z</dcterms:modified>
</cp:coreProperties>
</file>